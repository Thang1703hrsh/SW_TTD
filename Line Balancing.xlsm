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Sewing-Line-Simulation\"/>
    </mc:Choice>
  </mc:AlternateContent>
  <xr:revisionPtr revIDLastSave="0" documentId="13_ncr:1_{805333C6-7011-4D16-B0ED-79FAEFBCEB2B}" xr6:coauthVersionLast="47" xr6:coauthVersionMax="47" xr10:uidLastSave="{00000000-0000-0000-0000-000000000000}"/>
  <bookViews>
    <workbookView xWindow="-120" yWindow="-120" windowWidth="29040" windowHeight="15720" tabRatio="850" activeTab="8" xr2:uid="{C51D2B1B-F9DB-4ACF-927E-991271A87C35}"/>
  </bookViews>
  <sheets>
    <sheet name="Input_Data" sheetId="22" r:id="rId1"/>
    <sheet name="Input_Data_4" sheetId="34" r:id="rId2"/>
    <sheet name="Input_Data_3" sheetId="32" r:id="rId3"/>
    <sheet name="Input_Data_2" sheetId="30" r:id="rId4"/>
    <sheet name="Input_Data_1" sheetId="26" r:id="rId5"/>
    <sheet name="hat1" sheetId="25" r:id="rId6"/>
    <sheet name="hat2" sheetId="35" r:id="rId7"/>
    <sheet name="hat3" sheetId="31" r:id="rId8"/>
    <sheet name="hat4" sheetId="33" r:id="rId9"/>
    <sheet name="Line_Details" sheetId="5" r:id="rId10"/>
    <sheet name="Workstation_Allocation" sheetId="17" r:id="rId11"/>
    <sheet name="Allocation_Graph" sheetId="16" r:id="rId12"/>
    <sheet name="Output" sheetId="15" r:id="rId13"/>
    <sheet name="Example_1" sheetId="8" r:id="rId14"/>
    <sheet name="Example_1_Alt" sheetId="21" r:id="rId15"/>
    <sheet name="Example_2" sheetId="10" r:id="rId16"/>
    <sheet name="Sheet2" sheetId="14" state="hidden" r:id="rId17"/>
    <sheet name="Colors" sheetId="13" state="hidden" r:id="rId18"/>
  </sheets>
  <definedNames>
    <definedName name="_xlnm._FilterDatabase" localSheetId="17" hidden="1">Colors!$A$1:$C$120</definedName>
    <definedName name="_xlnm._FilterDatabase" localSheetId="13" hidden="1">Example_1!$B$4:$G$69</definedName>
    <definedName name="_xlnm._FilterDatabase" localSheetId="14" hidden="1">Example_1_Alt!$B$4:$G$58</definedName>
    <definedName name="_xlnm._FilterDatabase" localSheetId="15" hidden="1">Example_2!$B$4:$G$16</definedName>
    <definedName name="_xlnm._FilterDatabase" localSheetId="9" hidden="1">Line_Details!$B$4:$G$58</definedName>
    <definedName name="_xlnm._FilterDatabase" localSheetId="16" hidden="1">Sheet2!$A$1:$M$338</definedName>
    <definedName name="ExternalData_1" localSheetId="10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30" l="1"/>
  <c r="C17" i="30"/>
  <c r="C14" i="30"/>
  <c r="C18" i="22"/>
  <c r="C17" i="22"/>
  <c r="C14" i="22"/>
  <c r="C14" i="34"/>
  <c r="C15" i="34" s="1"/>
  <c r="C18" i="34"/>
  <c r="C11" i="34"/>
  <c r="C12" i="34" s="1"/>
  <c r="C13" i="34" s="1"/>
  <c r="C14" i="32"/>
  <c r="C18" i="32"/>
  <c r="C15" i="32"/>
  <c r="C11" i="32"/>
  <c r="C12" i="32" s="1"/>
  <c r="C13" i="32" s="1"/>
  <c r="C16" i="32" s="1"/>
  <c r="C17" i="32" s="1"/>
  <c r="C16" i="34" l="1"/>
  <c r="C17" i="34" s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<sst xmlns="http://schemas.openxmlformats.org/spreadsheetml/2006/main" count="2473" uniqueCount="1133">
  <si>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</si>
  <si>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</si>
  <si>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</si>
  <si>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</si>
  <si>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</si>
  <si>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</si>
  <si>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</si>
  <si>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</si>
  <si>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</si>
  <si>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</si>
  <si>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</si>
  <si>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</si>
  <si>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</si>
  <si>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</si>
  <si>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</si>
  <si>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</si>
  <si>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</si>
  <si>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</si>
  <si>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</si>
  <si>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</si>
  <si>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</si>
  <si>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</si>
  <si>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</si>
  <si>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</si>
  <si>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</si>
  <si>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</si>
  <si>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</si>
  <si>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</si>
  <si>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</si>
  <si>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</si>
  <si>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</si>
  <si>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</si>
  <si>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</si>
  <si>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</si>
  <si>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</si>
  <si>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</si>
  <si>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</si>
  <si>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</si>
  <si>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</si>
  <si>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</si>
  <si>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</si>
  <si>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</si>
  <si>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</si>
  <si>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</si>
  <si>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</si>
  <si>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</si>
  <si>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</si>
  <si>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</si>
  <si>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</si>
  <si>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</si>
  <si>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</si>
  <si>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</si>
  <si>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</si>
  <si>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</si>
  <si>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</si>
  <si>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</si>
  <si>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</si>
  <si>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</si>
  <si>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</si>
  <si>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</si>
  <si>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</si>
  <si>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</si>
  <si>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</si>
  <si>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</si>
  <si>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</si>
  <si>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</si>
  <si>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</si>
  <si>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</si>
  <si>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</si>
  <si>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</si>
  <si>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</si>
  <si>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</si>
  <si>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</si>
  <si>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</si>
  <si>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</si>
  <si>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</si>
  <si>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</si>
  <si>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</si>
  <si>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</si>
  <si>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</si>
  <si>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</si>
  <si>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</si>
  <si>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</si>
  <si>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</si>
  <si>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</si>
  <si>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</si>
  <si>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</si>
  <si>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</si>
  <si>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</si>
  <si>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</si>
  <si>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</si>
  <si>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</si>
  <si>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</si>
  <si>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</si>
  <si>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</si>
  <si>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</si>
  <si>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</si>
  <si>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</si>
  <si>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</si>
  <si>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</si>
  <si>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</si>
  <si>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</si>
  <si>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</si>
  <si>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</si>
  <si>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</si>
  <si>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</si>
  <si>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</si>
  <si>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</si>
  <si>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</si>
  <si>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</si>
  <si>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</si>
  <si>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</si>
  <si>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</si>
  <si>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</si>
  <si>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</si>
  <si>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</si>
  <si>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</si>
  <si>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</si>
  <si>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</si>
  <si>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</si>
  <si>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</si>
  <si>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</si>
  <si>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</si>
  <si>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</si>
  <si>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</si>
  <si>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</si>
  <si>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</si>
  <si>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</si>
  <si>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</si>
  <si>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</si>
  <si>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</si>
  <si>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</si>
  <si>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</si>
  <si>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</si>
  <si>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</si>
  <si>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</si>
  <si>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</si>
  <si>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</si>
  <si>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</si>
  <si>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</si>
  <si>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</si>
  <si>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</si>
  <si>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</si>
  <si>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</si>
  <si>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</si>
  <si>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</si>
  <si>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</si>
  <si>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</si>
  <si>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</si>
  <si>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</si>
  <si>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</si>
  <si>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</si>
  <si>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</si>
  <si>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</si>
  <si>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</si>
  <si>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</si>
  <si>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</si>
  <si>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</si>
  <si>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</si>
  <si>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</si>
  <si>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</si>
  <si>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</si>
  <si>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</si>
  <si>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</si>
  <si>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</si>
  <si>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</si>
  <si>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</si>
  <si>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</si>
  <si>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</si>
  <si>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</si>
  <si>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</si>
  <si>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</si>
  <si>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</si>
  <si>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</si>
  <si>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</si>
  <si>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</si>
  <si>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</si>
  <si>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</si>
  <si>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</si>
  <si>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</si>
  <si>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</si>
  <si>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</si>
  <si>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</si>
  <si>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</si>
  <si>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</si>
  <si>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</si>
  <si>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</si>
  <si>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</si>
  <si>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</si>
  <si>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</si>
  <si>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</si>
  <si>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</si>
  <si>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</si>
  <si>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</si>
  <si>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</si>
  <si>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</si>
  <si>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</si>
  <si>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</si>
  <si>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</si>
  <si>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</si>
  <si>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</si>
  <si>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</si>
  <si>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</si>
  <si>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</si>
  <si>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</si>
  <si>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</si>
  <si>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</si>
  <si>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</si>
  <si>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</si>
  <si>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</si>
  <si>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</si>
  <si>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</si>
  <si>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</si>
  <si>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</si>
  <si>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</si>
  <si>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</si>
  <si>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</si>
  <si>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</si>
  <si>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</si>
  <si>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</si>
  <si>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</si>
  <si>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</si>
  <si>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</si>
  <si>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</si>
  <si>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</si>
  <si>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</si>
  <si>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</si>
  <si>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</si>
  <si>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</si>
  <si>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</si>
  <si>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</si>
  <si>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</si>
  <si>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</si>
  <si>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</si>
  <si>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</si>
  <si>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</si>
  <si>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</si>
  <si>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</si>
  <si>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</si>
  <si>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</si>
  <si>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</si>
  <si>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</si>
  <si>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</si>
  <si>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</si>
  <si>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</si>
  <si>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</si>
  <si>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</si>
  <si>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</si>
  <si>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</si>
  <si>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</si>
  <si>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</si>
  <si>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</si>
  <si>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</si>
  <si>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</si>
  <si>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</si>
  <si>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</si>
  <si>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</si>
  <si>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</si>
  <si>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</si>
  <si>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</si>
  <si>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</si>
  <si>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</si>
  <si>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</si>
  <si>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</si>
  <si>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</si>
  <si>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</si>
  <si>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</si>
  <si>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</si>
  <si>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</si>
  <si>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</si>
  <si>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</si>
  <si>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</si>
  <si>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</si>
  <si>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</si>
  <si>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</si>
  <si>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</si>
  <si>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</si>
  <si>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</si>
  <si>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</si>
  <si>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</si>
  <si>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</si>
  <si>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</si>
  <si>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</si>
  <si>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</si>
  <si>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</si>
  <si>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</si>
  <si>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</si>
  <si>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</si>
  <si>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</si>
  <si>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</si>
  <si>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</si>
  <si>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</si>
  <si>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</si>
  <si>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</si>
  <si>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</si>
  <si>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</si>
  <si>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</si>
  <si>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</si>
  <si>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</si>
  <si>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</si>
  <si>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</si>
  <si>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</si>
  <si>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</si>
  <si>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</si>
  <si>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</si>
  <si>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</si>
  <si>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</si>
  <si>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</si>
  <si>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</si>
  <si>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</si>
  <si>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</si>
  <si>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</si>
  <si>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</si>
  <si>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</si>
  <si>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</si>
  <si>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</si>
  <si>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</si>
  <si>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</si>
  <si>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</si>
  <si>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</si>
  <si>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</si>
  <si>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</si>
  <si>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</si>
  <si>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</si>
  <si>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</si>
  <si>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</si>
  <si>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</si>
  <si>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</si>
  <si>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</si>
  <si>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</si>
  <si>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</si>
  <si>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</si>
  <si>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</si>
  <si>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</si>
  <si>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</si>
  <si>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</si>
  <si>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</si>
  <si>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</si>
  <si>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</si>
  <si>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</si>
  <si>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</si>
  <si>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</si>
  <si>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</si>
  <si>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</si>
  <si>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</si>
  <si>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</si>
  <si>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</si>
  <si>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</si>
  <si>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</si>
  <si>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</si>
  <si>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</si>
  <si>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</si>
  <si>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</si>
  <si>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</si>
  <si>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</si>
  <si>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</si>
  <si>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</si>
  <si>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</si>
  <si>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</si>
  <si>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</si>
  <si>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</si>
  <si>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</si>
  <si>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</si>
  <si>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</si>
  <si>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</si>
  <si>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</si>
  <si>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</si>
  <si>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</si>
  <si>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</si>
  <si>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</si>
  <si>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</si>
  <si>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</si>
  <si>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</si>
  <si>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</si>
  <si>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</si>
  <si>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</si>
  <si>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</si>
  <si>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</si>
  <si>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</si>
  <si>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</si>
  <si>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</si>
  <si>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</si>
  <si>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</si>
  <si>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</si>
  <si>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</si>
  <si>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</si>
  <si>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</si>
  <si>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</si>
  <si>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</si>
  <si>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</si>
  <si>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</si>
  <si>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</si>
  <si>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</si>
  <si>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</si>
  <si>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</si>
  <si>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</si>
  <si>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</si>
  <si>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</si>
  <si>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</si>
  <si>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</si>
  <si>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</si>
  <si>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</si>
  <si>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</si>
  <si>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</si>
  <si>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</si>
  <si>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</si>
  <si>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</si>
  <si>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</si>
  <si>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</si>
  <si>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</si>
  <si>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</si>
  <si>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</si>
  <si>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</si>
  <si>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</si>
  <si>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</si>
  <si>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</si>
  <si>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</si>
  <si>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</si>
  <si>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</si>
  <si>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</si>
  <si>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</si>
  <si>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</si>
  <si>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</si>
  <si>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</si>
  <si>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</si>
  <si>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</si>
  <si>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</si>
  <si>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</si>
  <si>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</si>
  <si>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</si>
  <si>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</si>
  <si>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</si>
  <si>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</si>
  <si>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</si>
  <si>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</si>
  <si>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</si>
  <si>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</si>
  <si>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</si>
  <si>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</si>
  <si>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</si>
  <si>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</si>
  <si>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</si>
  <si>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</si>
  <si>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</si>
  <si>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</si>
  <si>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</si>
  <si>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</si>
  <si>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</si>
  <si>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</si>
  <si>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</si>
  <si>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</si>
  <si>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</si>
  <si>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</si>
  <si>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</si>
  <si>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</si>
  <si>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</si>
  <si>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</si>
  <si>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</si>
  <si>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</si>
  <si>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</si>
  <si>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</si>
  <si>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</si>
  <si>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</si>
  <si>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</si>
  <si>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</si>
  <si>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</si>
  <si>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</si>
  <si>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</si>
  <si>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</si>
  <si>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</si>
  <si>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</si>
  <si>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</si>
  <si>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</si>
  <si>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</si>
  <si>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</si>
  <si>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</si>
  <si>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</si>
  <si>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</si>
  <si>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</si>
  <si>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</si>
  <si>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</si>
  <si>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</si>
  <si>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</si>
  <si>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</si>
  <si>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</si>
  <si>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</si>
  <si>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</si>
  <si>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</si>
  <si>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</si>
  <si>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</si>
  <si>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</si>
  <si>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</si>
  <si>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</si>
  <si>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</si>
  <si>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</si>
  <si>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</si>
  <si>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</si>
  <si>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</si>
  <si>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</si>
  <si>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</si>
  <si>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</si>
  <si>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</si>
  <si>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</si>
  <si>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</si>
  <si>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</si>
  <si>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</si>
  <si>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</si>
  <si>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</si>
  <si>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</si>
  <si>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</si>
  <si>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</si>
  <si>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</si>
  <si>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</si>
  <si>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</si>
  <si>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</si>
  <si>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</si>
  <si>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</si>
  <si>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</si>
  <si>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</si>
  <si>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</si>
  <si>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</si>
  <si>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</si>
  <si>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</si>
  <si>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</si>
  <si>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</si>
  <si>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</si>
  <si>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</si>
  <si>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</si>
  <si>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</si>
  <si>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</si>
  <si>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</si>
  <si>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</si>
  <si>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</si>
  <si>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</si>
  <si>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</si>
  <si>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</si>
  <si>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</si>
  <si>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</si>
  <si>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</si>
  <si>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</si>
  <si>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</si>
  <si>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</si>
  <si>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</si>
  <si>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</si>
  <si>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</si>
  <si>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</si>
  <si>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</si>
  <si>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</si>
  <si>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</si>
  <si>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</si>
  <si>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</si>
  <si>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</si>
  <si>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</si>
  <si>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</si>
  <si>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</si>
  <si>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</si>
  <si>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</si>
  <si>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</si>
  <si>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</si>
  <si>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</si>
  <si>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</si>
  <si>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</si>
  <si>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</si>
  <si>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</si>
  <si>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</si>
  <si>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</si>
  <si>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</si>
  <si>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</si>
  <si>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</si>
  <si>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</si>
  <si>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</si>
  <si>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</si>
  <si>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</si>
  <si>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</si>
  <si>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</si>
  <si>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</si>
  <si>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</si>
  <si>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</si>
  <si>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</si>
  <si>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</si>
  <si>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</si>
  <si>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</si>
  <si>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</si>
  <si>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</si>
  <si>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</si>
  <si>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</si>
  <si>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</si>
  <si>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</si>
  <si>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</si>
  <si>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</si>
  <si>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</si>
  <si>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</si>
  <si>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</si>
  <si>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</si>
  <si>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</si>
  <si>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</si>
  <si>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</si>
  <si>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</si>
  <si>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</si>
  <si>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</si>
  <si>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</si>
  <si>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</si>
  <si>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</si>
  <si>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</si>
  <si>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</si>
  <si>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</si>
  <si>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</si>
  <si>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</si>
  <si>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</si>
  <si>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</si>
  <si>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</si>
  <si>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</si>
  <si>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</si>
  <si>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</si>
  <si>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</si>
  <si>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</si>
  <si>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</si>
  <si>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</si>
  <si>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</si>
  <si>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</si>
  <si>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</si>
  <si>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</si>
  <si>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</si>
  <si>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</si>
  <si>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</si>
  <si>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</si>
  <si>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</si>
  <si>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</si>
  <si>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</si>
  <si>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</si>
  <si>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</si>
  <si>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</si>
  <si>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</si>
  <si>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</si>
  <si>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</si>
  <si>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</si>
  <si>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</si>
  <si>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</si>
  <si>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</si>
  <si>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</si>
  <si>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</si>
  <si>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</si>
  <si>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</si>
  <si>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</si>
  <si>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</si>
  <si>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</si>
  <si>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</si>
  <si>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</si>
  <si>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</si>
  <si>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</si>
  <si>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</si>
  <si>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</si>
  <si>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</si>
  <si>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</si>
  <si>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</si>
  <si>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</si>
  <si>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</si>
  <si>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</si>
  <si>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</si>
  <si>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</si>
  <si>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</si>
  <si>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</si>
  <si>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</si>
  <si>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</si>
  <si>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</si>
  <si>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</si>
  <si>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</si>
  <si>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</si>
  <si>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</si>
  <si>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</si>
  <si>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</si>
  <si>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</si>
  <si>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</si>
  <si>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</si>
  <si>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</si>
  <si>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</si>
  <si>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</si>
  <si>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</si>
  <si>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</si>
  <si>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</si>
  <si>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</si>
  <si>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</si>
  <si>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</si>
  <si>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</si>
  <si>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</si>
  <si>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</si>
  <si>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</si>
  <si>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</si>
  <si>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</si>
  <si>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</si>
  <si>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</si>
  <si>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</si>
  <si>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</si>
  <si>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</si>
  <si>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</si>
  <si>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</si>
  <si>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</si>
  <si>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</si>
  <si>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</si>
  <si>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</si>
  <si>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</si>
  <si>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</si>
  <si>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</si>
  <si>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</si>
  <si>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</si>
  <si>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</si>
  <si>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</si>
  <si>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</si>
  <si>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</si>
  <si>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</si>
  <si>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</si>
  <si>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</si>
  <si>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</si>
  <si>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</si>
  <si>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</si>
  <si>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</si>
  <si>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</si>
  <si>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</si>
  <si>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</si>
  <si>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</si>
  <si>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</si>
  <si>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</si>
  <si>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</si>
  <si>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</si>
  <si>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</si>
  <si>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</si>
  <si>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</si>
  <si>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</si>
  <si>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</si>
  <si>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</si>
  <si>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</si>
  <si>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</si>
  <si>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</si>
  <si>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</si>
  <si>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</si>
  <si>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</si>
  <si>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</si>
  <si>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</si>
  <si>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</si>
  <si>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</si>
  <si>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</si>
  <si>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</si>
  <si>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</si>
  <si>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</si>
  <si>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</si>
  <si>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</si>
  <si>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</si>
  <si>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</si>
  <si>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</si>
  <si>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</si>
  <si>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</si>
  <si>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</si>
  <si>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</si>
  <si>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</si>
  <si>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</si>
  <si>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</si>
  <si>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</si>
  <si>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</si>
  <si>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</si>
  <si>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</si>
  <si>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</si>
  <si>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</si>
  <si>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</si>
  <si>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</si>
  <si>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</si>
  <si>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</si>
  <si>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</si>
  <si>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</si>
  <si>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</si>
  <si>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</si>
  <si>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</si>
  <si>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</si>
  <si>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</si>
  <si>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</si>
  <si>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</si>
  <si>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</si>
  <si>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</si>
  <si>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</si>
  <si>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</si>
  <si>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</si>
  <si>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</si>
  <si>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</si>
  <si>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</si>
  <si>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</si>
  <si>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</si>
  <si>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</si>
  <si>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</si>
  <si>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</si>
  <si>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</si>
  <si>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</si>
  <si>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</si>
  <si>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</si>
  <si>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</si>
  <si>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</si>
  <si>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</si>
  <si>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</si>
  <si>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</si>
  <si>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</si>
  <si>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</si>
  <si>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</si>
  <si>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</si>
  <si>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</si>
  <si>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</si>
  <si>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</si>
  <si>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</si>
  <si>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</si>
  <si>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</si>
  <si>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</si>
  <si>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</si>
  <si>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</si>
  <si>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</si>
  <si>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</si>
  <si>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</si>
  <si>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</si>
  <si>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</si>
  <si>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</si>
  <si>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</si>
  <si>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</si>
  <si>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</si>
  <si>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</si>
  <si>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</si>
  <si>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</si>
  <si>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</si>
  <si>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</si>
  <si>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</si>
  <si>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</si>
  <si>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</si>
  <si>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</si>
  <si>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</si>
  <si>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</si>
  <si>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</si>
  <si>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</si>
  <si>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</si>
  <si>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</si>
  <si>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</si>
  <si>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</si>
  <si>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</si>
  <si>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</si>
  <si>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</si>
  <si>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</si>
  <si>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</si>
  <si>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</si>
  <si>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</si>
  <si>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</si>
  <si>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</si>
  <si>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</si>
  <si>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</si>
  <si>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</si>
  <si>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</si>
  <si>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</si>
  <si>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</si>
  <si>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</si>
  <si>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</si>
  <si>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</si>
  <si>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</si>
  <si>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</si>
  <si>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</si>
  <si>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</si>
  <si>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</si>
  <si>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</si>
  <si>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</si>
  <si>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</si>
  <si>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</si>
  <si>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</si>
  <si>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</si>
  <si>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</si>
  <si>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</si>
  <si>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</si>
  <si>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</si>
  <si>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</si>
  <si>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</si>
  <si>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</si>
  <si>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</si>
  <si>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</si>
  <si>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</si>
  <si>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</si>
  <si>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</si>
  <si>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</si>
  <si>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</si>
  <si>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</si>
  <si>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</si>
  <si>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</si>
  <si>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</si>
  <si>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</si>
  <si>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</si>
  <si>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</si>
  <si>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</si>
  <si>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</si>
  <si>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</si>
  <si>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</si>
  <si>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</si>
  <si>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</si>
  <si>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</si>
  <si>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</si>
  <si>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</si>
  <si>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</si>
  <si>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</si>
  <si>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</si>
  <si>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</si>
  <si>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</si>
  <si>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</si>
  <si>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</si>
  <si>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</si>
  <si>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</si>
  <si>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</si>
  <si>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</si>
  <si>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</si>
  <si>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</si>
  <si>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</si>
  <si>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</si>
  <si>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</si>
  <si>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</si>
  <si>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</si>
  <si>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</si>
  <si>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</si>
  <si>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</si>
  <si>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</si>
  <si>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</si>
  <si>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</si>
  <si>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</si>
  <si>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</si>
  <si>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</si>
  <si>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</si>
  <si>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</si>
  <si>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</si>
  <si>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</si>
  <si>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</si>
  <si>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</si>
  <si>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</si>
  <si>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</si>
  <si>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</si>
  <si>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</si>
  <si>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</si>
  <si>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</si>
  <si>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</si>
  <si>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</si>
  <si>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</si>
  <si>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</si>
  <si>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</si>
  <si>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</si>
  <si>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</si>
  <si>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</si>
  <si>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</si>
  <si>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</si>
  <si>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</si>
  <si>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</si>
  <si>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</si>
  <si>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</si>
  <si>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</si>
  <si>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</si>
  <si>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</si>
  <si>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</si>
  <si>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</si>
  <si>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</si>
  <si>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</si>
  <si>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</si>
  <si>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</si>
  <si>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</si>
  <si>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</si>
  <si>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</si>
  <si>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</si>
  <si>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</si>
  <si>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</si>
  <si>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</si>
  <si>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</si>
  <si>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</si>
  <si>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</si>
  <si>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</si>
  <si>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</si>
  <si>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</si>
  <si>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</si>
  <si>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</si>
  <si>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</si>
  <si>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</si>
  <si>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</si>
  <si>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</si>
  <si>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</si>
  <si>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</si>
  <si>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</si>
  <si>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</si>
  <si>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</si>
  <si>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</si>
  <si>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</si>
  <si>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</si>
  <si>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</si>
  <si>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</si>
  <si>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</si>
  <si>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</si>
  <si>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</si>
  <si>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</si>
  <si>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</si>
  <si>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</si>
  <si>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</si>
  <si>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</si>
  <si>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</si>
  <si>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</si>
  <si>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</si>
  <si>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</si>
  <si>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</si>
  <si>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</si>
  <si>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</si>
  <si>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</si>
  <si>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</si>
  <si>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</si>
  <si>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</si>
  <si>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</si>
  <si>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</si>
  <si>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</si>
  <si>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</si>
  <si>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</si>
  <si>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</si>
  <si>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</si>
  <si>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</si>
  <si>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</si>
  <si>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</si>
  <si>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</si>
  <si>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</si>
  <si>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</si>
  <si>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</si>
  <si>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</si>
  <si>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</si>
  <si>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</si>
  <si>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</si>
  <si>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</si>
  <si>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</si>
  <si>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</si>
  <si>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</si>
  <si>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</si>
  <si>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</si>
  <si>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</si>
  <si>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</si>
  <si>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</si>
  <si>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</si>
  <si>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</si>
  <si>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</si>
  <si>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</si>
  <si>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</si>
  <si>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</si>
  <si>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</si>
  <si>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</si>
  <si>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</si>
  <si>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</si>
  <si>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</si>
  <si>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</si>
  <si>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</si>
  <si>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</si>
  <si>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</si>
  <si>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</si>
  <si>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</si>
  <si>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</si>
  <si>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</si>
  <si>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</si>
  <si>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</si>
  <si>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</si>
  <si>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</si>
  <si>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</si>
  <si>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</si>
  <si>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</si>
  <si>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</si>
  <si>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</si>
  <si>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</si>
  <si>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</si>
  <si>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</si>
  <si>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</si>
  <si>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</si>
  <si>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</si>
  <si>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</si>
  <si>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</si>
  <si>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</si>
  <si>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</si>
  <si>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</si>
  <si>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</si>
  <si>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</si>
  <si>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</si>
  <si>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</si>
  <si>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</si>
  <si>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</si>
  <si>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</si>
  <si>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</si>
  <si>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</si>
  <si>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</si>
  <si>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</si>
  <si>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</si>
  <si>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</si>
  <si>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</si>
  <si>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</si>
  <si>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</si>
  <si>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</si>
  <si>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</si>
  <si>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</si>
  <si>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</si>
  <si>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</si>
  <si>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</si>
  <si>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</si>
  <si>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</si>
  <si>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</si>
  <si>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</si>
  <si>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</si>
  <si>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</si>
  <si>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</si>
  <si>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</si>
  <si>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</si>
  <si>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</si>
  <si>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</si>
  <si>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</si>
  <si>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</si>
  <si>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</si>
  <si>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</si>
  <si>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</si>
  <si>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</si>
  <si>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</si>
  <si>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</si>
  <si>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</si>
  <si>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</si>
  <si>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</si>
  <si>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</si>
  <si>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</si>
  <si>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</si>
  <si>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</si>
  <si>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</si>
  <si>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</si>
  <si>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</si>
  <si>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</si>
  <si>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</si>
  <si>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</si>
  <si>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</si>
  <si>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</si>
  <si>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18,20</t>
  </si>
  <si>
    <t>5,24</t>
  </si>
  <si>
    <t>16,26</t>
  </si>
  <si>
    <t>16,27</t>
  </si>
  <si>
    <t>21,22</t>
  </si>
  <si>
    <t>Tra lót vào vành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</si>
</sst>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16" fillId="0" borderId="0"/>
  </cellStyleXfs>
  <cellXfs count="401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B2821FF3-A614-42F2-9D72-74CF5E7E69E4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21" Type="http://schemas.openxmlformats.org/officeDocument/2006/relationships/hyperlink" Target="https://en.wikipedia.org/wiki/Amaranth_(color)" TargetMode="External"/><Relationship Id="rId63" Type="http://schemas.openxmlformats.org/officeDocument/2006/relationships/hyperlink" Target="https://en.wikipedia.org/wiki/Beige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170" Type="http://schemas.openxmlformats.org/officeDocument/2006/relationships/hyperlink" Target="https://en.wikipedia.org/wiki/Cerulean" TargetMode="External"/><Relationship Id="rId226" Type="http://schemas.openxmlformats.org/officeDocument/2006/relationships/hyperlink" Target="https://en.wikipedia.org/wiki/List_of_Crayola_crayon_colors" TargetMode="External"/><Relationship Id="rId268" Type="http://schemas.openxmlformats.org/officeDocument/2006/relationships/hyperlink" Target="https://en.wikipedia.org/wiki/Jungle_green" TargetMode="External"/><Relationship Id="rId32" Type="http://schemas.openxmlformats.org/officeDocument/2006/relationships/hyperlink" Target="https://en.wikipedia.org/wiki/Fuchsia_(color)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181" Type="http://schemas.openxmlformats.org/officeDocument/2006/relationships/hyperlink" Target="https://en.wikipedia.org/wiki/Shades_of_pink" TargetMode="External"/><Relationship Id="rId237" Type="http://schemas.openxmlformats.org/officeDocument/2006/relationships/hyperlink" Target="https://en.wikipedia.org/wiki/Electric_blue_(color)" TargetMode="External"/><Relationship Id="rId279" Type="http://schemas.openxmlformats.org/officeDocument/2006/relationships/hyperlink" Target="https://en.wikipedia.org/wiki/Dodger_blue" TargetMode="External"/><Relationship Id="rId43" Type="http://schemas.openxmlformats.org/officeDocument/2006/relationships/hyperlink" Target="https://en.wikipedia.org/wiki/Arylide_yellow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48" Type="http://schemas.openxmlformats.org/officeDocument/2006/relationships/hyperlink" Target="https://en.wikipedia.org/wiki/Olive_(color)" TargetMode="External"/><Relationship Id="rId12" Type="http://schemas.openxmlformats.org/officeDocument/2006/relationships/hyperlink" Target="https://en.wikipedia.org/wiki/Air_Force_blue" TargetMode="External"/><Relationship Id="rId108" Type="http://schemas.openxmlformats.org/officeDocument/2006/relationships/hyperlink" Target="https://en.wikipedia.org/wiki/Shades_of_brown" TargetMode="External"/><Relationship Id="rId315" Type="http://schemas.openxmlformats.org/officeDocument/2006/relationships/hyperlink" Target="https://en.wikipedia.org/wiki/Desert_sand_(color)" TargetMode="External"/><Relationship Id="rId54" Type="http://schemas.openxmlformats.org/officeDocument/2006/relationships/hyperlink" Target="https://en.wikipedia.org/wiki/Shades_of_pink" TargetMode="External"/><Relationship Id="rId96" Type="http://schemas.openxmlformats.org/officeDocument/2006/relationships/hyperlink" Target="https://en.wikipedia.org/wiki/Blue-green" TargetMode="External"/><Relationship Id="rId161" Type="http://schemas.openxmlformats.org/officeDocument/2006/relationships/hyperlink" Target="https://en.wikipedia.org/wiki/List_of_Crayola_crayon_colors" TargetMode="External"/><Relationship Id="rId217" Type="http://schemas.openxmlformats.org/officeDocument/2006/relationships/hyperlink" Target="https://en.wikipedia.org/wiki/Shades_of_white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326" Type="http://schemas.openxmlformats.org/officeDocument/2006/relationships/hyperlink" Target="https://en.wikipedia.org/wiki/Shades_of_green" TargetMode="External"/><Relationship Id="rId65" Type="http://schemas.openxmlformats.org/officeDocument/2006/relationships/hyperlink" Target="https://en.wikipedia.org/wiki/Ruby_(color)" TargetMode="External"/><Relationship Id="rId130" Type="http://schemas.openxmlformats.org/officeDocument/2006/relationships/hyperlink" Target="https://en.wikipedia.org/wiki/Byzantium_(color)" TargetMode="External"/><Relationship Id="rId172" Type="http://schemas.openxmlformats.org/officeDocument/2006/relationships/hyperlink" Target="https://en.wikipedia.org/wiki/CG_Blue" TargetMode="External"/><Relationship Id="rId228" Type="http://schemas.openxmlformats.org/officeDocument/2006/relationships/hyperlink" Target="https://en.wikipedia.org/wiki/Cyan" TargetMode="External"/><Relationship Id="rId281" Type="http://schemas.openxmlformats.org/officeDocument/2006/relationships/hyperlink" Target="https://en.wikipedia.org/wiki/Desert_sand_(color)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83" Type="http://schemas.openxmlformats.org/officeDocument/2006/relationships/hyperlink" Target="https://en.wikipedia.org/wiki/Shades_of_red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45" Type="http://schemas.openxmlformats.org/officeDocument/2006/relationships/hyperlink" Target="https://en.wikipedia.org/wiki/Shades_of_green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7" Type="http://schemas.openxmlformats.org/officeDocument/2006/relationships/hyperlink" Target="https://en.wikipedia.org/wiki/Fallow_(color)" TargetMode="External"/><Relationship Id="rId328" Type="http://schemas.openxmlformats.org/officeDocument/2006/relationships/hyperlink" Target="https://en.wikipedia.org/wiki/Beige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220" Type="http://schemas.openxmlformats.org/officeDocument/2006/relationships/hyperlink" Target="https://en.wikipedia.org/wiki/Coyote_brown" TargetMode="External"/><Relationship Id="rId241" Type="http://schemas.openxmlformats.org/officeDocument/2006/relationships/hyperlink" Target="https://en.wikipedia.org/wiki/Jungle_green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78" Type="http://schemas.openxmlformats.org/officeDocument/2006/relationships/hyperlink" Target="https://en.wikipedia.org/wiki/Olive_(color)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64" Type="http://schemas.openxmlformats.org/officeDocument/2006/relationships/hyperlink" Target="https://en.wikipedia.org/wiki/Shades_of_green" TargetMode="External"/><Relationship Id="rId185" Type="http://schemas.openxmlformats.org/officeDocument/2006/relationships/hyperlink" Target="https://en.wikipedia.org/wiki/Rose_(color)" TargetMode="External"/><Relationship Id="rId9" Type="http://schemas.openxmlformats.org/officeDocument/2006/relationships/hyperlink" Target="https://en.wikipedia.org/wiki/HSL_and_HSV" TargetMode="External"/><Relationship Id="rId210" Type="http://schemas.openxmlformats.org/officeDocument/2006/relationships/hyperlink" Target="https://en.wikipedia.org/wiki/Coquelicot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302" Type="http://schemas.openxmlformats.org/officeDocument/2006/relationships/hyperlink" Target="https://en.wikipedia.org/wiki/Indian_red_(color)" TargetMode="External"/><Relationship Id="rId323" Type="http://schemas.openxmlformats.org/officeDocument/2006/relationships/hyperlink" Target="https://en.wikipedia.org/wiki/Shades_of_whit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179" Type="http://schemas.openxmlformats.org/officeDocument/2006/relationships/hyperlink" Target="https://en.wikipedia.org/wiki/Chartreuse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5" Type="http://schemas.openxmlformats.org/officeDocument/2006/relationships/hyperlink" Target="https://en.wikipedia.org/wiki/Crystal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313" Type="http://schemas.openxmlformats.org/officeDocument/2006/relationships/hyperlink" Target="https://en.wikipedia.org/wiki/Shades_of_green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94" Type="http://schemas.openxmlformats.org/officeDocument/2006/relationships/hyperlink" Target="https://en.wikipedia.org/wiki/Blue-gray" TargetMode="External"/><Relationship Id="rId148" Type="http://schemas.openxmlformats.org/officeDocument/2006/relationships/hyperlink" Target="https://en.wikipedia.org/wiki/Candy_apple_red" TargetMode="External"/><Relationship Id="rId169" Type="http://schemas.openxmlformats.org/officeDocument/2006/relationships/hyperlink" Target="https://en.wikipedia.org/wiki/Cerulean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180" Type="http://schemas.openxmlformats.org/officeDocument/2006/relationships/hyperlink" Target="https://en.wikipedia.org/wiki/Chartreuse_(color)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303" Type="http://schemas.openxmlformats.org/officeDocument/2006/relationships/hyperlink" Target="https://en.wikipedia.org/wiki/List_of_Crayola_crayon_colors" TargetMode="External"/><Relationship Id="rId42" Type="http://schemas.openxmlformats.org/officeDocument/2006/relationships/hyperlink" Target="https://en.wikipedia.org/wiki/Shades_of_green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345" Type="http://schemas.openxmlformats.org/officeDocument/2006/relationships/hyperlink" Target="https://en.wikipedia.org/wiki/Fulvous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53" Type="http://schemas.openxmlformats.org/officeDocument/2006/relationships/hyperlink" Target="https://en.wikipedia.org/wiki/Baby_blue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216" Type="http://schemas.openxmlformats.org/officeDocument/2006/relationships/hyperlink" Target="https://en.wikipedia.org/wiki/Cornflower_blue" TargetMode="External"/><Relationship Id="rId258" Type="http://schemas.openxmlformats.org/officeDocument/2006/relationships/hyperlink" Target="https://en.wikipedia.org/wiki/X11_color_names" TargetMode="External"/><Relationship Id="rId22" Type="http://schemas.openxmlformats.org/officeDocument/2006/relationships/hyperlink" Target="https://en.wikipedia.org/wiki/Amaranth_(color)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325" Type="http://schemas.openxmlformats.org/officeDocument/2006/relationships/hyperlink" Target="https://en.wikipedia.org/wiki/Shades_of_green" TargetMode="External"/><Relationship Id="rId171" Type="http://schemas.openxmlformats.org/officeDocument/2006/relationships/hyperlink" Target="https://en.wikipedia.org/wiki/Cerulean" TargetMode="External"/><Relationship Id="rId227" Type="http://schemas.openxmlformats.org/officeDocument/2006/relationships/hyperlink" Target="https://en.wikipedia.org/wiki/Cyan" TargetMode="External"/><Relationship Id="rId269" Type="http://schemas.openxmlformats.org/officeDocument/2006/relationships/hyperlink" Target="https://en.wikipedia.org/wiki/Shades_of_pink" TargetMode="External"/><Relationship Id="rId33" Type="http://schemas.openxmlformats.org/officeDocument/2006/relationships/hyperlink" Target="https://en.wikipedia.org/wiki/Ruby_(color)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36" Type="http://schemas.openxmlformats.org/officeDocument/2006/relationships/hyperlink" Target="https://en.wikipedia.org/wiki/Raspberry_(color)" TargetMode="External"/><Relationship Id="rId75" Type="http://schemas.openxmlformats.org/officeDocument/2006/relationships/hyperlink" Target="https://en.wikipedia.org/wiki/Shades_of_black" TargetMode="External"/><Relationship Id="rId140" Type="http://schemas.openxmlformats.org/officeDocument/2006/relationships/hyperlink" Target="https://en.wikipedia.org/wiki/Coffee_(color)" TargetMode="External"/><Relationship Id="rId182" Type="http://schemas.openxmlformats.org/officeDocument/2006/relationships/hyperlink" Target="https://en.wikipedia.org/wiki/Chestnut_(color)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44" Type="http://schemas.openxmlformats.org/officeDocument/2006/relationships/hyperlink" Target="https://en.wikipedia.org/wiki/Shades_of_gray" TargetMode="External"/><Relationship Id="rId86" Type="http://schemas.openxmlformats.org/officeDocument/2006/relationships/hyperlink" Target="https://en.wikipedia.org/wiki/Blue" TargetMode="External"/><Relationship Id="rId151" Type="http://schemas.openxmlformats.org/officeDocument/2006/relationships/hyperlink" Target="https://en.wikipedia.org/wiki/Cardinal_(color)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316" Type="http://schemas.openxmlformats.org/officeDocument/2006/relationships/hyperlink" Target="https://en.wikipedia.org/wiki/List_of_Crayola_crayon_colors" TargetMode="External"/><Relationship Id="rId55" Type="http://schemas.openxmlformats.org/officeDocument/2006/relationships/hyperlink" Target="https://en.wikipedia.org/wiki/Shades_of_white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62" Type="http://schemas.openxmlformats.org/officeDocument/2006/relationships/hyperlink" Target="https://en.wikipedia.org/wiki/Shades_of_green" TargetMode="External"/><Relationship Id="rId218" Type="http://schemas.openxmlformats.org/officeDocument/2006/relationships/hyperlink" Target="https://en.wikipedia.org/wiki/List_of_Crayola_crayon_colors" TargetMode="External"/><Relationship Id="rId271" Type="http://schemas.openxmlformats.org/officeDocument/2006/relationships/hyperlink" Target="https://en.wikipedia.org/wiki/Sky_blue" TargetMode="External"/><Relationship Id="rId24" Type="http://schemas.openxmlformats.org/officeDocument/2006/relationships/hyperlink" Target="https://en.wikipedia.org/wiki/Amaranth_(color)" TargetMode="External"/><Relationship Id="rId66" Type="http://schemas.openxmlformats.org/officeDocument/2006/relationships/hyperlink" Target="https://en.wikipedia.org/wiki/X11_color_names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73" Type="http://schemas.openxmlformats.org/officeDocument/2006/relationships/hyperlink" Target="https://en.wikipedia.org/wiki/CG_Red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36"/>
  <sheetViews>
    <sheetView showGridLines="0" zoomScale="115" zoomScaleNormal="115" workbookViewId="0">
      <selection activeCell="C5" sqref="C5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f>8*60</f>
        <v>480</v>
      </c>
    </row>
    <row r="8" spans="2:3" x14ac:dyDescent="0.3">
      <c r="B8" s="381" t="s">
        <v>102</v>
      </c>
      <c r="C8" s="380">
        <v>49000</v>
      </c>
    </row>
    <row r="9" spans="2:3" x14ac:dyDescent="0.3">
      <c r="B9" s="381" t="s">
        <v>103</v>
      </c>
      <c r="C9" s="386">
        <v>44317</v>
      </c>
    </row>
    <row r="10" spans="2:3" x14ac:dyDescent="0.3">
      <c r="B10" s="381" t="s">
        <v>104</v>
      </c>
      <c r="C10" s="386">
        <v>44347</v>
      </c>
    </row>
    <row r="11" spans="2:3" x14ac:dyDescent="0.3">
      <c r="B11" s="381" t="s">
        <v>105</v>
      </c>
      <c r="C11" s="385">
        <f>(_xlfn.DAYS(C10,C9)+1)</f>
        <v>31</v>
      </c>
    </row>
    <row r="12" spans="2:3" x14ac:dyDescent="0.3">
      <c r="B12" s="381" t="s">
        <v>106</v>
      </c>
      <c r="C12" s="385">
        <f>ROUND(C8/C11,0)</f>
        <v>1581</v>
      </c>
    </row>
    <row r="13" spans="2:3" x14ac:dyDescent="0.3">
      <c r="B13" s="381" t="s">
        <v>107</v>
      </c>
      <c r="C13" s="384">
        <f>C7/C12</f>
        <v>0.30360531309297911</v>
      </c>
    </row>
    <row r="14" spans="2:3" x14ac:dyDescent="0.3">
      <c r="B14" s="381" t="s">
        <v>101</v>
      </c>
      <c r="C14" s="380">
        <f>MAX(Line_Details!$F:$F)</f>
        <v>1.819</v>
      </c>
    </row>
    <row r="15" spans="2:3" x14ac:dyDescent="0.3">
      <c r="B15" s="381" t="s">
        <v>108</v>
      </c>
      <c r="C15" s="380">
        <f>ROUND(C7/C14,0)</f>
        <v>264</v>
      </c>
    </row>
    <row r="16" spans="2:3" ht="31.5" x14ac:dyDescent="0.3">
      <c r="B16" s="383" t="s">
        <v>109</v>
      </c>
      <c r="C16" s="382">
        <f>MAX(C13,C14)</f>
        <v>1.819</v>
      </c>
    </row>
    <row r="17" spans="2:3" x14ac:dyDescent="0.3">
      <c r="B17" s="381" t="s">
        <v>111</v>
      </c>
      <c r="C17" s="380">
        <f>ROUNDUP(SUM(Line_Details!$F:$F)/C16,0)</f>
        <v>23</v>
      </c>
    </row>
    <row r="18" spans="2:3" ht="16.5" thickBot="1" x14ac:dyDescent="0.35">
      <c r="B18" s="379" t="s">
        <v>110</v>
      </c>
      <c r="C18" s="378">
        <f>MAX(Line_Details!$B:$B)</f>
        <v>54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dimension ref="A2:F36"/>
  <sheetViews>
    <sheetView workbookViewId="0">
      <selection activeCell="B16" sqref="B16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MAX('hat4'!$F:$F)</f>
        <v>1.1000000000000001</v>
      </c>
    </row>
    <row r="15" spans="2:3" x14ac:dyDescent="0.3">
      <c r="B15" s="381" t="s">
        <v>108</v>
      </c>
      <c r="C15" s="380">
        <f>ROUND(C7/C14,0)</f>
        <v>418</v>
      </c>
    </row>
    <row r="16" spans="2:3" ht="31.5" x14ac:dyDescent="0.3">
      <c r="B16" s="383" t="s">
        <v>109</v>
      </c>
      <c r="C16" s="382">
        <f>MAX(C13,C14)</f>
        <v>1.1000000000000001</v>
      </c>
    </row>
    <row r="17" spans="2:3" x14ac:dyDescent="0.3">
      <c r="B17" s="381" t="s">
        <v>111</v>
      </c>
      <c r="C17" s="380">
        <f>ROUNDUP(SUM('hat4'!$F:$F)/C16,0)</f>
        <v>14</v>
      </c>
    </row>
    <row r="18" spans="2:3" ht="16.5" thickBot="1" x14ac:dyDescent="0.35">
      <c r="B18" s="379" t="s">
        <v>110</v>
      </c>
      <c r="C18" s="378">
        <f>MAX('hat4'!$B:$B)</f>
        <v>32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dimension ref="A2:F36"/>
  <sheetViews>
    <sheetView workbookViewId="0">
      <selection activeCell="C25" sqref="C25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MAX('hat3'!$F:$F)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ROUNDUP(SUM('hat3'!$F:$F)/C16,0)</f>
        <v>13</v>
      </c>
    </row>
    <row r="18" spans="2:3" ht="16.5" thickBot="1" x14ac:dyDescent="0.35">
      <c r="B18" s="379" t="s">
        <v>110</v>
      </c>
      <c r="C18" s="378">
        <f>MAX('hat3'!$B:$B)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dimension ref="A2:F36"/>
  <sheetViews>
    <sheetView workbookViewId="0">
      <selection activeCell="C13" sqref="C13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MAX('hat2'!$F:$F)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ROUNDUP(SUM('hat2'!$F:$F)/C16,0)</f>
        <v>13</v>
      </c>
    </row>
    <row r="18" spans="2:3" ht="16.5" thickBot="1" x14ac:dyDescent="0.35">
      <c r="B18" s="379" t="s">
        <v>110</v>
      </c>
      <c r="C18" s="378">
        <f>MAX('hat2'!$B:$B)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dimension ref="A2:F36"/>
  <sheetViews>
    <sheetView workbookViewId="0">
      <selection activeCell="C14" sqref="C14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MAX('hat1'!$F:$F)</f>
        <v>0.78</v>
      </c>
    </row>
    <row r="15" spans="2:3" x14ac:dyDescent="0.3">
      <c r="B15" s="381" t="s">
        <v>108</v>
      </c>
      <c r="C15" s="380">
        <f>ROUND(C7/C14,0)</f>
        <v>590</v>
      </c>
    </row>
    <row r="16" spans="2:3" ht="31.5" x14ac:dyDescent="0.3">
      <c r="B16" s="383" t="s">
        <v>109</v>
      </c>
      <c r="C16" s="382">
        <f>MAX(C13,C14)</f>
        <v>0.78</v>
      </c>
    </row>
    <row r="17" spans="2:3" x14ac:dyDescent="0.3">
      <c r="B17" s="381" t="s">
        <v>111</v>
      </c>
      <c r="C17" s="380">
        <f>ROUNDUP(SUM('hat1'!$F:$F)/C16,0)</f>
        <v>19</v>
      </c>
    </row>
    <row r="18" spans="2:3" ht="16.5" thickBot="1" x14ac:dyDescent="0.35">
      <c r="B18" s="379" t="s">
        <v>110</v>
      </c>
      <c r="C18" s="378">
        <f>MAX('hat1'!$B:$B)</f>
        <v>34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dimension ref="A1:J38"/>
  <sheetViews>
    <sheetView topLeftCell="A19" zoomScale="115" zoomScaleNormal="115" workbookViewId="0">
      <selection activeCell="G38" sqref="G38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 t="s">
        <v>1127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1131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1128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1128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1115</v>
      </c>
      <c r="D32" s="392" t="s">
        <v>1091</v>
      </c>
      <c r="E32" s="358" t="s">
        <v>1130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 x14ac:dyDescent="0.3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 x14ac:dyDescent="0.3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0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dimension ref="A1:J35"/>
  <sheetViews>
    <sheetView topLeftCell="A7" zoomScale="120" zoomScaleNormal="120" workbookViewId="0">
      <selection activeCell="E23" sqref="E23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1131</v>
      </c>
      <c r="F27" s="358">
        <v>0.78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1128</v>
      </c>
      <c r="F29" s="358">
        <v>1.1399999999999999</v>
      </c>
      <c r="G29" s="358">
        <v>2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1129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dimension ref="A1:J35"/>
  <sheetViews>
    <sheetView topLeftCell="A13" zoomScale="120" zoomScaleNormal="120" workbookViewId="0">
      <selection activeCell="F29" sqref="F2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4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3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3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2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2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2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3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4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3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3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2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1131</v>
      </c>
      <c r="F27" s="358">
        <v>0.78</v>
      </c>
      <c r="G27" s="358">
        <v>4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3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1128</v>
      </c>
      <c r="F29" s="358">
        <v>1.1399999999999999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3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1129</v>
      </c>
      <c r="F31" s="358">
        <v>0.7</v>
      </c>
      <c r="G31" s="358">
        <v>3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3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4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dimension ref="A1:J36"/>
  <sheetViews>
    <sheetView tabSelected="1" topLeftCell="A10" zoomScale="115" zoomScaleNormal="115" workbookViewId="0">
      <selection activeCell="F22" sqref="F2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 t="s">
        <v>1127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1131</v>
      </c>
      <c r="F27" s="358">
        <v>0.78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1128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1128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1132</v>
      </c>
      <c r="D32" s="392" t="s">
        <v>1091</v>
      </c>
      <c r="E32" s="358" t="s">
        <v>1130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workbookViewId="0">
      <selection activeCell="G59" sqref="G59"/>
    </sheetView>
  </sheetViews>
  <sheetFormatPr defaultColWidth="0" defaultRowHeight="16.5" x14ac:dyDescent="0.3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 x14ac:dyDescent="0.3">
      <c r="B2" s="399" t="s">
        <v>987</v>
      </c>
      <c r="C2" s="399"/>
      <c r="D2" s="399"/>
      <c r="E2" s="399"/>
      <c r="F2" s="399"/>
      <c r="G2" s="399"/>
    </row>
    <row r="4" spans="2:9" x14ac:dyDescent="0.3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 x14ac:dyDescent="0.3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 x14ac:dyDescent="0.3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 x14ac:dyDescent="0.3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 x14ac:dyDescent="0.3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 x14ac:dyDescent="0.3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 x14ac:dyDescent="0.3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 x14ac:dyDescent="0.3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 x14ac:dyDescent="0.3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 x14ac:dyDescent="0.3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 x14ac:dyDescent="0.3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 x14ac:dyDescent="0.3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 x14ac:dyDescent="0.3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 x14ac:dyDescent="0.3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 x14ac:dyDescent="0.3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 x14ac:dyDescent="0.3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 x14ac:dyDescent="0.3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 x14ac:dyDescent="0.3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 x14ac:dyDescent="0.3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 x14ac:dyDescent="0.3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 x14ac:dyDescent="0.3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 x14ac:dyDescent="0.3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 x14ac:dyDescent="0.3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 x14ac:dyDescent="0.3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 x14ac:dyDescent="0.3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 x14ac:dyDescent="0.3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 x14ac:dyDescent="0.3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 x14ac:dyDescent="0.3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 x14ac:dyDescent="0.3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 x14ac:dyDescent="0.3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 x14ac:dyDescent="0.3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 x14ac:dyDescent="0.3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 x14ac:dyDescent="0.3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 x14ac:dyDescent="0.3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 x14ac:dyDescent="0.3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 x14ac:dyDescent="0.3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 x14ac:dyDescent="0.3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 x14ac:dyDescent="0.3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 x14ac:dyDescent="0.3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 x14ac:dyDescent="0.3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 x14ac:dyDescent="0.3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 x14ac:dyDescent="0.3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 x14ac:dyDescent="0.3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 x14ac:dyDescent="0.3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 x14ac:dyDescent="0.3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 x14ac:dyDescent="0.3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 x14ac:dyDescent="0.3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 x14ac:dyDescent="0.3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 x14ac:dyDescent="0.3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 x14ac:dyDescent="0.3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 x14ac:dyDescent="0.3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 x14ac:dyDescent="0.3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 x14ac:dyDescent="0.3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 x14ac:dyDescent="0.3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 x14ac:dyDescent="0.3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 x14ac:dyDescent="0.3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 x14ac:dyDescent="0.3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 x14ac:dyDescent="0.3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 x14ac:dyDescent="0.3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 x14ac:dyDescent="0.3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 x14ac:dyDescent="0.3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 x14ac:dyDescent="0.3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 x14ac:dyDescent="0.3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 x14ac:dyDescent="0.3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 x14ac:dyDescent="0.3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 x14ac:dyDescent="0.3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 x14ac:dyDescent="0.3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 x14ac:dyDescent="0.3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 x14ac:dyDescent="0.3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 x14ac:dyDescent="0.3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 x14ac:dyDescent="0.3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 x14ac:dyDescent="0.3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 x14ac:dyDescent="0.3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 x14ac:dyDescent="0.3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 x14ac:dyDescent="0.3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 x14ac:dyDescent="0.3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 x14ac:dyDescent="0.3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 x14ac:dyDescent="0.3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 x14ac:dyDescent="0.3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 x14ac:dyDescent="0.3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 x14ac:dyDescent="0.3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 x14ac:dyDescent="0.3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 x14ac:dyDescent="0.3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 x14ac:dyDescent="0.3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 x14ac:dyDescent="0.3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 x14ac:dyDescent="0.3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 x14ac:dyDescent="0.3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 x14ac:dyDescent="0.3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 x14ac:dyDescent="0.3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 x14ac:dyDescent="0.3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 x14ac:dyDescent="0.3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 x14ac:dyDescent="0.3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 x14ac:dyDescent="0.3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 x14ac:dyDescent="0.3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 x14ac:dyDescent="0.3">
      <c r="B98" s="359"/>
      <c r="C98" s="360"/>
      <c r="D98" s="360"/>
      <c r="E98" s="363"/>
      <c r="F98" s="359"/>
      <c r="G98" s="359"/>
      <c r="H98" s="364"/>
      <c r="I98" s="364"/>
    </row>
    <row r="99" spans="2:9" x14ac:dyDescent="0.3">
      <c r="B99" s="359"/>
      <c r="C99" s="360"/>
      <c r="D99" s="360"/>
      <c r="E99" s="359"/>
      <c r="F99" s="359"/>
      <c r="G99" s="359"/>
      <c r="H99" s="364"/>
      <c r="I99" s="364"/>
    </row>
    <row r="100" spans="2:9" x14ac:dyDescent="0.3">
      <c r="B100" s="359"/>
      <c r="C100" s="360"/>
      <c r="D100" s="360"/>
      <c r="E100" s="359"/>
      <c r="F100" s="359"/>
      <c r="G100" s="359"/>
      <c r="H100" s="364"/>
      <c r="I100" s="364"/>
    </row>
    <row r="101" spans="2:9" x14ac:dyDescent="0.3">
      <c r="B101" s="359"/>
      <c r="C101" s="360"/>
      <c r="D101" s="360"/>
      <c r="E101" s="359"/>
      <c r="F101" s="359"/>
      <c r="G101" s="359"/>
      <c r="H101" s="364"/>
      <c r="I101" s="364"/>
    </row>
    <row r="102" spans="2:9" x14ac:dyDescent="0.3">
      <c r="B102" s="359"/>
      <c r="C102" s="360"/>
      <c r="D102" s="360"/>
      <c r="E102" s="359"/>
      <c r="F102" s="359"/>
      <c r="G102" s="359"/>
      <c r="H102" s="364"/>
      <c r="I102" s="364"/>
    </row>
    <row r="103" spans="2:9" x14ac:dyDescent="0.3">
      <c r="B103" s="359"/>
      <c r="C103" s="360"/>
      <c r="D103" s="360"/>
      <c r="E103" s="359"/>
      <c r="F103" s="359"/>
      <c r="G103" s="359"/>
      <c r="H103" s="364"/>
      <c r="I103" s="364"/>
    </row>
    <row r="104" spans="2:9" x14ac:dyDescent="0.3">
      <c r="B104" s="359"/>
      <c r="C104" s="360"/>
      <c r="D104" s="360"/>
      <c r="E104" s="359"/>
      <c r="F104" s="359"/>
      <c r="G104" s="359"/>
      <c r="H104" s="364"/>
      <c r="I104" s="364"/>
    </row>
    <row r="105" spans="2:9" x14ac:dyDescent="0.3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 x14ac:dyDescent="0.3">
      <c r="B106" s="359"/>
      <c r="C106" s="360"/>
      <c r="D106" s="360"/>
      <c r="E106" s="359"/>
      <c r="F106" s="359"/>
      <c r="G106" s="359"/>
    </row>
    <row r="107" spans="2:9" s="364" customFormat="1" x14ac:dyDescent="0.3">
      <c r="B107" s="359"/>
      <c r="C107" s="360"/>
      <c r="D107" s="360"/>
      <c r="E107" s="359"/>
      <c r="F107" s="359"/>
      <c r="G107" s="359"/>
    </row>
    <row r="108" spans="2:9" s="364" customFormat="1" x14ac:dyDescent="0.3">
      <c r="B108" s="359"/>
      <c r="C108" s="360"/>
      <c r="D108" s="360"/>
      <c r="E108" s="359"/>
      <c r="F108" s="359"/>
      <c r="G108" s="359"/>
    </row>
    <row r="109" spans="2:9" x14ac:dyDescent="0.3">
      <c r="B109" s="359"/>
      <c r="C109" s="360"/>
      <c r="D109" s="360"/>
      <c r="E109" s="359"/>
      <c r="F109" s="359"/>
      <c r="G109" s="359"/>
      <c r="H109" s="364"/>
      <c r="I109" s="364"/>
    </row>
    <row r="110" spans="2:9" x14ac:dyDescent="0.3">
      <c r="B110" s="359"/>
      <c r="C110" s="360"/>
      <c r="D110" s="360"/>
      <c r="E110" s="359"/>
      <c r="F110" s="359"/>
      <c r="G110" s="359"/>
      <c r="H110" s="364"/>
      <c r="I110" s="364"/>
    </row>
    <row r="111" spans="2:9" x14ac:dyDescent="0.3">
      <c r="B111" s="359"/>
      <c r="C111" s="360"/>
      <c r="D111" s="360"/>
      <c r="E111" s="359"/>
      <c r="F111" s="359"/>
      <c r="G111" s="359"/>
      <c r="H111" s="364"/>
      <c r="I111" s="364"/>
    </row>
    <row r="112" spans="2:9" x14ac:dyDescent="0.3">
      <c r="B112" s="359"/>
      <c r="C112" s="360"/>
      <c r="D112" s="360"/>
      <c r="E112" s="359"/>
      <c r="F112" s="359"/>
      <c r="G112" s="359"/>
      <c r="H112" s="364"/>
      <c r="I112" s="364"/>
    </row>
    <row r="113" spans="2:9" x14ac:dyDescent="0.3">
      <c r="B113" s="359"/>
      <c r="C113" s="360"/>
      <c r="D113" s="360"/>
      <c r="E113" s="359"/>
      <c r="F113" s="359"/>
      <c r="G113" s="359"/>
      <c r="H113" s="364"/>
      <c r="I113" s="364"/>
    </row>
    <row r="114" spans="2:9" x14ac:dyDescent="0.3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 x14ac:dyDescent="0.3">
      <c r="B115" s="359"/>
      <c r="C115" s="360"/>
      <c r="D115" s="360"/>
      <c r="E115" s="359"/>
      <c r="F115" s="359"/>
      <c r="G115" s="359"/>
    </row>
    <row r="116" spans="2:9" s="364" customFormat="1" x14ac:dyDescent="0.3">
      <c r="B116" s="359"/>
      <c r="C116" s="360"/>
      <c r="D116" s="360"/>
      <c r="E116" s="359"/>
      <c r="F116" s="359"/>
      <c r="G116" s="359"/>
    </row>
    <row r="117" spans="2:9" x14ac:dyDescent="0.3">
      <c r="B117" s="359"/>
      <c r="C117" s="360"/>
      <c r="D117" s="360"/>
      <c r="E117" s="359"/>
      <c r="F117" s="359"/>
      <c r="G117" s="359"/>
      <c r="H117" s="364"/>
      <c r="I117" s="364"/>
    </row>
    <row r="118" spans="2:9" x14ac:dyDescent="0.3">
      <c r="B118" s="359"/>
      <c r="C118" s="360"/>
      <c r="D118" s="360"/>
      <c r="E118" s="359"/>
      <c r="F118" s="359"/>
      <c r="G118" s="359"/>
      <c r="H118" s="364"/>
      <c r="I118" s="364"/>
    </row>
    <row r="119" spans="2:9" x14ac:dyDescent="0.3">
      <c r="B119" s="359"/>
      <c r="C119" s="360"/>
      <c r="D119" s="360"/>
      <c r="E119" s="359"/>
      <c r="F119" s="359"/>
      <c r="G119" s="359"/>
      <c r="H119" s="364"/>
      <c r="I119" s="364"/>
    </row>
    <row r="120" spans="2:9" x14ac:dyDescent="0.3">
      <c r="B120" s="359"/>
      <c r="C120" s="360"/>
      <c r="D120" s="360"/>
      <c r="E120" s="359"/>
      <c r="F120" s="359"/>
      <c r="G120" s="359"/>
      <c r="H120" s="364"/>
      <c r="I120" s="364"/>
    </row>
    <row r="121" spans="2:9" x14ac:dyDescent="0.3">
      <c r="B121" s="359"/>
      <c r="C121" s="360"/>
      <c r="D121" s="360"/>
      <c r="E121" s="359"/>
      <c r="F121" s="359"/>
      <c r="G121" s="359"/>
      <c r="H121" s="364"/>
      <c r="I121" s="364"/>
    </row>
    <row r="122" spans="2:9" x14ac:dyDescent="0.3">
      <c r="B122" s="359"/>
      <c r="C122" s="360"/>
      <c r="D122" s="360"/>
      <c r="E122" s="359"/>
      <c r="F122" s="359"/>
      <c r="G122" s="359"/>
      <c r="H122" s="364"/>
      <c r="I122" s="364"/>
    </row>
    <row r="123" spans="2:9" x14ac:dyDescent="0.3">
      <c r="B123" s="359"/>
      <c r="C123" s="360"/>
      <c r="D123" s="360"/>
      <c r="E123" s="359"/>
      <c r="F123" s="359"/>
      <c r="G123" s="359"/>
      <c r="H123" s="364"/>
      <c r="I123" s="364"/>
    </row>
    <row r="124" spans="2:9" x14ac:dyDescent="0.3">
      <c r="B124" s="359"/>
      <c r="C124" s="360"/>
      <c r="D124" s="360"/>
      <c r="E124" s="359"/>
      <c r="F124" s="359"/>
      <c r="G124" s="359"/>
      <c r="H124" s="364"/>
      <c r="I124" s="364"/>
    </row>
    <row r="125" spans="2:9" x14ac:dyDescent="0.3">
      <c r="B125" s="359"/>
      <c r="C125" s="360"/>
      <c r="D125" s="360"/>
      <c r="E125" s="359"/>
      <c r="F125" s="359"/>
      <c r="G125" s="359"/>
      <c r="H125" s="364"/>
      <c r="I125" s="364"/>
    </row>
    <row r="126" spans="2:9" x14ac:dyDescent="0.3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 x14ac:dyDescent="0.3">
      <c r="B127" s="359"/>
      <c r="C127" s="360"/>
      <c r="D127" s="360"/>
      <c r="E127" s="359"/>
      <c r="F127" s="359"/>
      <c r="G127" s="359"/>
    </row>
    <row r="128" spans="2:9" s="364" customFormat="1" x14ac:dyDescent="0.3">
      <c r="B128" s="359"/>
      <c r="C128" s="360"/>
      <c r="D128" s="360"/>
      <c r="E128" s="359"/>
      <c r="F128" s="359"/>
      <c r="G128" s="359"/>
    </row>
    <row r="129" spans="2:9" x14ac:dyDescent="0.3">
      <c r="B129" s="359"/>
      <c r="C129" s="360"/>
      <c r="D129" s="360"/>
      <c r="E129" s="359"/>
      <c r="F129" s="359"/>
      <c r="G129" s="359"/>
      <c r="H129" s="364"/>
      <c r="I129" s="364"/>
    </row>
    <row r="130" spans="2:9" x14ac:dyDescent="0.3">
      <c r="B130" s="359"/>
      <c r="C130" s="360"/>
      <c r="D130" s="360"/>
      <c r="E130" s="359"/>
      <c r="F130" s="359"/>
      <c r="G130" s="359"/>
      <c r="H130" s="364"/>
      <c r="I130" s="364"/>
    </row>
    <row r="131" spans="2:9" x14ac:dyDescent="0.3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 x14ac:dyDescent="0.3">
      <c r="B132" s="359"/>
      <c r="C132" s="360"/>
      <c r="D132" s="360"/>
      <c r="E132" s="359"/>
      <c r="F132" s="359"/>
      <c r="G132" s="359"/>
    </row>
    <row r="133" spans="2:9" s="364" customFormat="1" x14ac:dyDescent="0.3">
      <c r="B133" s="359"/>
      <c r="C133" s="360"/>
      <c r="D133" s="360"/>
      <c r="E133" s="359"/>
      <c r="F133" s="359"/>
      <c r="G133" s="359"/>
    </row>
    <row r="134" spans="2:9" x14ac:dyDescent="0.3">
      <c r="B134" s="359"/>
      <c r="C134" s="360"/>
      <c r="D134" s="360"/>
      <c r="E134" s="359"/>
      <c r="F134" s="359"/>
      <c r="G134" s="359"/>
    </row>
    <row r="135" spans="2:9" x14ac:dyDescent="0.3">
      <c r="B135" s="359"/>
      <c r="C135" s="360"/>
      <c r="D135" s="360"/>
      <c r="E135" s="359"/>
      <c r="F135" s="359"/>
      <c r="G135" s="359"/>
    </row>
    <row r="136" spans="2:9" s="364" customFormat="1" x14ac:dyDescent="0.3">
      <c r="B136" s="361"/>
      <c r="C136" s="362"/>
      <c r="D136" s="362"/>
      <c r="E136" s="361"/>
      <c r="F136" s="361"/>
      <c r="G136" s="361"/>
    </row>
    <row r="137" spans="2:9" s="364" customFormat="1" x14ac:dyDescent="0.3">
      <c r="B137" s="361"/>
      <c r="C137" s="362"/>
      <c r="D137" s="362"/>
      <c r="E137" s="361"/>
      <c r="F137" s="361"/>
      <c r="G137" s="361"/>
    </row>
    <row r="138" spans="2:9" s="364" customFormat="1" x14ac:dyDescent="0.3">
      <c r="B138"/>
      <c r="C138"/>
      <c r="D138"/>
      <c r="E138"/>
      <c r="F138"/>
      <c r="G138"/>
    </row>
    <row r="139" spans="2:9" s="364" customFormat="1" x14ac:dyDescent="0.3">
      <c r="B139"/>
      <c r="C139"/>
      <c r="D139"/>
      <c r="E139"/>
      <c r="F139"/>
      <c r="G139"/>
    </row>
    <row r="140" spans="2:9" s="364" customFormat="1" x14ac:dyDescent="0.3">
      <c r="B140"/>
      <c r="C140"/>
      <c r="D140"/>
      <c r="E140"/>
      <c r="F140"/>
      <c r="G140"/>
    </row>
    <row r="141" spans="2:9" s="364" customFormat="1" x14ac:dyDescent="0.3">
      <c r="B141"/>
      <c r="C141"/>
      <c r="D141"/>
      <c r="E141"/>
      <c r="F141"/>
      <c r="G141"/>
    </row>
    <row r="142" spans="2:9" s="364" customFormat="1" x14ac:dyDescent="0.3">
      <c r="B142"/>
      <c r="C142"/>
      <c r="D142"/>
      <c r="E142"/>
      <c r="F142"/>
      <c r="G142"/>
    </row>
    <row r="143" spans="2:9" s="364" customFormat="1" x14ac:dyDescent="0.3">
      <c r="B143"/>
      <c r="C143"/>
      <c r="D143"/>
      <c r="E143"/>
      <c r="F143"/>
      <c r="G143"/>
    </row>
    <row r="144" spans="2:9" s="364" customFormat="1" x14ac:dyDescent="0.3">
      <c r="B144"/>
      <c r="C144"/>
      <c r="D144"/>
      <c r="E144"/>
      <c r="F144"/>
      <c r="G144"/>
    </row>
    <row r="146" spans="2:7" s="364" customFormat="1" x14ac:dyDescent="0.3">
      <c r="B146"/>
      <c r="C146"/>
      <c r="D146"/>
      <c r="E146"/>
      <c r="F146"/>
      <c r="G146"/>
    </row>
    <row r="148" spans="2:7" s="364" customFormat="1" x14ac:dyDescent="0.3">
      <c r="B148"/>
      <c r="C148"/>
      <c r="D148"/>
      <c r="E148"/>
      <c r="F148"/>
      <c r="G148"/>
    </row>
    <row r="151" spans="2:7" s="364" customFormat="1" x14ac:dyDescent="0.3">
      <c r="B151"/>
      <c r="C151"/>
      <c r="D151"/>
      <c r="E151"/>
      <c r="F151"/>
      <c r="G151"/>
    </row>
    <row r="153" spans="2:7" s="364" customFormat="1" x14ac:dyDescent="0.3">
      <c r="B153"/>
      <c r="C153"/>
      <c r="D153"/>
      <c r="E153"/>
      <c r="F153"/>
      <c r="G153"/>
    </row>
    <row r="155" spans="2:7" s="364" customFormat="1" x14ac:dyDescent="0.3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workbookViewId="0"/>
  </sheetViews>
  <sheetFormatPr defaultColWidth="0" defaultRowHeight="16.5" zeroHeight="1" x14ac:dyDescent="0.3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 x14ac:dyDescent="0.3"/>
    <row r="2" spans="2:18" x14ac:dyDescent="0.3">
      <c r="B2" s="399" t="s">
        <v>968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</row>
    <row r="3" spans="2:18" x14ac:dyDescent="0.3"/>
    <row r="4" spans="2:18" x14ac:dyDescent="0.3"/>
    <row r="5" spans="2:18" x14ac:dyDescent="0.3"/>
    <row r="6" spans="2:18" x14ac:dyDescent="0.3">
      <c r="G6">
        <v>1</v>
      </c>
    </row>
    <row r="7" spans="2:18" x14ac:dyDescent="0.3"/>
    <row r="8" spans="2:18" x14ac:dyDescent="0.3"/>
    <row r="9" spans="2:18" x14ac:dyDescent="0.3"/>
    <row r="10" spans="2:18" x14ac:dyDescent="0.3"/>
    <row r="11" spans="2:18" x14ac:dyDescent="0.3"/>
    <row r="12" spans="2:18" x14ac:dyDescent="0.3"/>
    <row r="13" spans="2:18" x14ac:dyDescent="0.3"/>
    <row r="14" spans="2:18" x14ac:dyDescent="0.3"/>
    <row r="15" spans="2:18" x14ac:dyDescent="0.3"/>
    <row r="16" spans="2:18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hidden="1" x14ac:dyDescent="0.3"/>
    <row r="35" customFormat="1" hidden="1" x14ac:dyDescent="0.3"/>
  </sheetData>
  <mergeCells count="1">
    <mergeCell ref="B2:R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 x14ac:dyDescent="0.3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 x14ac:dyDescent="0.3">
      <c r="B2" s="400" t="s">
        <v>966</v>
      </c>
      <c r="C2" s="400"/>
    </row>
    <row r="3" spans="2:3" ht="17.25" thickBot="1" x14ac:dyDescent="0.35">
      <c r="B3" s="1"/>
      <c r="C3" s="1"/>
    </row>
    <row r="4" spans="2:3" ht="18" thickTop="1" thickBot="1" x14ac:dyDescent="0.35">
      <c r="B4" s="355" t="s">
        <v>99</v>
      </c>
      <c r="C4" s="351" t="s">
        <v>967</v>
      </c>
    </row>
    <row r="5" spans="2:3" ht="17.25" thickTop="1" x14ac:dyDescent="0.3">
      <c r="B5" s="356" t="s">
        <v>962</v>
      </c>
      <c r="C5" s="357" t="str">
        <f>Input_Data!C5</f>
        <v>Trouser - Style 002</v>
      </c>
    </row>
    <row r="6" spans="2:3" x14ac:dyDescent="0.3">
      <c r="B6" s="356" t="s">
        <v>963</v>
      </c>
      <c r="C6" s="357" t="str">
        <f>Input_Data!C6</f>
        <v>NYTL</v>
      </c>
    </row>
    <row r="7" spans="2:3" x14ac:dyDescent="0.3">
      <c r="B7" s="356" t="s">
        <v>100</v>
      </c>
      <c r="C7" s="352">
        <f>8*60</f>
        <v>480</v>
      </c>
    </row>
    <row r="8" spans="2:3" x14ac:dyDescent="0.3">
      <c r="B8" s="356"/>
      <c r="C8" s="352"/>
    </row>
    <row r="9" spans="2:3" x14ac:dyDescent="0.3">
      <c r="B9" s="356"/>
      <c r="C9" s="353"/>
    </row>
    <row r="10" spans="2:3" x14ac:dyDescent="0.3">
      <c r="B10" s="356"/>
      <c r="C10" s="353"/>
    </row>
    <row r="11" spans="2:3" x14ac:dyDescent="0.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topLeftCell="A49" workbookViewId="0">
      <selection activeCell="E76" sqref="E76"/>
    </sheetView>
  </sheetViews>
  <sheetFormatPr defaultColWidth="9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3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3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3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3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3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3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3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3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3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3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3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3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3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3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3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3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3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3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3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3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3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3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3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3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3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3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3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3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3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3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3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3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3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3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3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3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3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3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3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3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3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3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3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3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3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3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3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3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3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3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3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3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3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4" workbookViewId="0">
      <selection activeCell="I12" sqref="I1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E31" sqref="E31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3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 x14ac:dyDescent="0.3"/>
  <sheetData>
    <row r="1" spans="1:13" x14ac:dyDescent="0.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 x14ac:dyDescent="0.3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 x14ac:dyDescent="0.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 x14ac:dyDescent="0.3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 x14ac:dyDescent="0.3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x14ac:dyDescent="0.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 x14ac:dyDescent="0.3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 x14ac:dyDescent="0.3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 x14ac:dyDescent="0.3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 x14ac:dyDescent="0.3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 x14ac:dyDescent="0.3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 x14ac:dyDescent="0.3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 x14ac:dyDescent="0.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 x14ac:dyDescent="0.3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x14ac:dyDescent="0.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 x14ac:dyDescent="0.3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x14ac:dyDescent="0.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 x14ac:dyDescent="0.3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 x14ac:dyDescent="0.3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 x14ac:dyDescent="0.3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 x14ac:dyDescent="0.3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 x14ac:dyDescent="0.3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 x14ac:dyDescent="0.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x14ac:dyDescent="0.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x14ac:dyDescent="0.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 x14ac:dyDescent="0.3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 x14ac:dyDescent="0.3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 x14ac:dyDescent="0.3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 x14ac:dyDescent="0.3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 x14ac:dyDescent="0.3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 x14ac:dyDescent="0.3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 x14ac:dyDescent="0.3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 x14ac:dyDescent="0.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x14ac:dyDescent="0.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 x14ac:dyDescent="0.3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x14ac:dyDescent="0.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x14ac:dyDescent="0.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 x14ac:dyDescent="0.3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 x14ac:dyDescent="0.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 x14ac:dyDescent="0.3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 x14ac:dyDescent="0.3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 x14ac:dyDescent="0.3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 x14ac:dyDescent="0.3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 x14ac:dyDescent="0.3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 x14ac:dyDescent="0.3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 x14ac:dyDescent="0.3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 x14ac:dyDescent="0.3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 x14ac:dyDescent="0.3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 x14ac:dyDescent="0.3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 x14ac:dyDescent="0.3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 x14ac:dyDescent="0.3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x14ac:dyDescent="0.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 x14ac:dyDescent="0.3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 x14ac:dyDescent="0.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 x14ac:dyDescent="0.3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x14ac:dyDescent="0.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x14ac:dyDescent="0.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 x14ac:dyDescent="0.3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 x14ac:dyDescent="0.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x14ac:dyDescent="0.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 x14ac:dyDescent="0.3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 x14ac:dyDescent="0.3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 x14ac:dyDescent="0.3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 x14ac:dyDescent="0.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 x14ac:dyDescent="0.3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 x14ac:dyDescent="0.3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x14ac:dyDescent="0.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x14ac:dyDescent="0.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 x14ac:dyDescent="0.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x14ac:dyDescent="0.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 x14ac:dyDescent="0.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 x14ac:dyDescent="0.3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 x14ac:dyDescent="0.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 x14ac:dyDescent="0.3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 x14ac:dyDescent="0.3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 x14ac:dyDescent="0.3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 x14ac:dyDescent="0.3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 x14ac:dyDescent="0.3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 x14ac:dyDescent="0.3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 x14ac:dyDescent="0.3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 x14ac:dyDescent="0.3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 x14ac:dyDescent="0.3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 x14ac:dyDescent="0.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 x14ac:dyDescent="0.3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 x14ac:dyDescent="0.3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 x14ac:dyDescent="0.3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 x14ac:dyDescent="0.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 x14ac:dyDescent="0.3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 x14ac:dyDescent="0.3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x14ac:dyDescent="0.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 x14ac:dyDescent="0.3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x14ac:dyDescent="0.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x14ac:dyDescent="0.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 x14ac:dyDescent="0.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 x14ac:dyDescent="0.3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 x14ac:dyDescent="0.3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x14ac:dyDescent="0.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 x14ac:dyDescent="0.3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 x14ac:dyDescent="0.3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 x14ac:dyDescent="0.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 x14ac:dyDescent="0.3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 x14ac:dyDescent="0.3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 x14ac:dyDescent="0.3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 x14ac:dyDescent="0.3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 x14ac:dyDescent="0.3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 x14ac:dyDescent="0.3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 x14ac:dyDescent="0.3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 x14ac:dyDescent="0.3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 x14ac:dyDescent="0.3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 x14ac:dyDescent="0.3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 x14ac:dyDescent="0.3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x14ac:dyDescent="0.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x14ac:dyDescent="0.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x14ac:dyDescent="0.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 x14ac:dyDescent="0.3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 x14ac:dyDescent="0.3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 x14ac:dyDescent="0.3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x14ac:dyDescent="0.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 x14ac:dyDescent="0.3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 x14ac:dyDescent="0.3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x14ac:dyDescent="0.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x14ac:dyDescent="0.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x14ac:dyDescent="0.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x14ac:dyDescent="0.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x14ac:dyDescent="0.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 x14ac:dyDescent="0.3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x14ac:dyDescent="0.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 x14ac:dyDescent="0.3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 x14ac:dyDescent="0.3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 x14ac:dyDescent="0.3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 x14ac:dyDescent="0.3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 x14ac:dyDescent="0.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x14ac:dyDescent="0.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 x14ac:dyDescent="0.3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 x14ac:dyDescent="0.3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 x14ac:dyDescent="0.3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 x14ac:dyDescent="0.3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 x14ac:dyDescent="0.3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 x14ac:dyDescent="0.3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 x14ac:dyDescent="0.3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 x14ac:dyDescent="0.3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 x14ac:dyDescent="0.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 x14ac:dyDescent="0.3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 x14ac:dyDescent="0.3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 x14ac:dyDescent="0.3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 x14ac:dyDescent="0.3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 x14ac:dyDescent="0.3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 x14ac:dyDescent="0.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 x14ac:dyDescent="0.3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 x14ac:dyDescent="0.3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 x14ac:dyDescent="0.3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 x14ac:dyDescent="0.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 x14ac:dyDescent="0.3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 x14ac:dyDescent="0.3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 x14ac:dyDescent="0.3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 x14ac:dyDescent="0.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 x14ac:dyDescent="0.3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 x14ac:dyDescent="0.3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 x14ac:dyDescent="0.3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 x14ac:dyDescent="0.3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 x14ac:dyDescent="0.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 x14ac:dyDescent="0.3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 x14ac:dyDescent="0.3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 x14ac:dyDescent="0.3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 x14ac:dyDescent="0.3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 x14ac:dyDescent="0.3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 x14ac:dyDescent="0.3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x14ac:dyDescent="0.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x14ac:dyDescent="0.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 x14ac:dyDescent="0.3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 x14ac:dyDescent="0.3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 x14ac:dyDescent="0.3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 x14ac:dyDescent="0.3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x14ac:dyDescent="0.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 x14ac:dyDescent="0.3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 x14ac:dyDescent="0.3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x14ac:dyDescent="0.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x14ac:dyDescent="0.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x14ac:dyDescent="0.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 x14ac:dyDescent="0.3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 x14ac:dyDescent="0.3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 x14ac:dyDescent="0.3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x14ac:dyDescent="0.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 x14ac:dyDescent="0.3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 x14ac:dyDescent="0.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 x14ac:dyDescent="0.3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 x14ac:dyDescent="0.3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 x14ac:dyDescent="0.3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x14ac:dyDescent="0.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x14ac:dyDescent="0.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 x14ac:dyDescent="0.3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 x14ac:dyDescent="0.3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x14ac:dyDescent="0.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 x14ac:dyDescent="0.3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 x14ac:dyDescent="0.3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x14ac:dyDescent="0.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x14ac:dyDescent="0.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 x14ac:dyDescent="0.3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x14ac:dyDescent="0.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 x14ac:dyDescent="0.3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x14ac:dyDescent="0.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 x14ac:dyDescent="0.3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 x14ac:dyDescent="0.3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 x14ac:dyDescent="0.3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x14ac:dyDescent="0.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 x14ac:dyDescent="0.3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x14ac:dyDescent="0.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 x14ac:dyDescent="0.3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 x14ac:dyDescent="0.3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x14ac:dyDescent="0.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 x14ac:dyDescent="0.3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 x14ac:dyDescent="0.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 x14ac:dyDescent="0.3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 x14ac:dyDescent="0.3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 x14ac:dyDescent="0.3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x14ac:dyDescent="0.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 x14ac:dyDescent="0.3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 x14ac:dyDescent="0.3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 x14ac:dyDescent="0.3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 x14ac:dyDescent="0.3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 x14ac:dyDescent="0.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 x14ac:dyDescent="0.3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 x14ac:dyDescent="0.3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x14ac:dyDescent="0.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x14ac:dyDescent="0.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x14ac:dyDescent="0.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x14ac:dyDescent="0.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 x14ac:dyDescent="0.3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x14ac:dyDescent="0.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 x14ac:dyDescent="0.3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 x14ac:dyDescent="0.3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 x14ac:dyDescent="0.3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 x14ac:dyDescent="0.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x14ac:dyDescent="0.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x14ac:dyDescent="0.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x14ac:dyDescent="0.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x14ac:dyDescent="0.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 x14ac:dyDescent="0.3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x14ac:dyDescent="0.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x14ac:dyDescent="0.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 x14ac:dyDescent="0.3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 x14ac:dyDescent="0.3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 x14ac:dyDescent="0.3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x14ac:dyDescent="0.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 x14ac:dyDescent="0.3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 x14ac:dyDescent="0.3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x14ac:dyDescent="0.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x14ac:dyDescent="0.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 x14ac:dyDescent="0.3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x14ac:dyDescent="0.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x14ac:dyDescent="0.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x14ac:dyDescent="0.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 x14ac:dyDescent="0.3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 x14ac:dyDescent="0.3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 x14ac:dyDescent="0.3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 x14ac:dyDescent="0.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 x14ac:dyDescent="0.3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 x14ac:dyDescent="0.3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x14ac:dyDescent="0.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 x14ac:dyDescent="0.3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 x14ac:dyDescent="0.3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 x14ac:dyDescent="0.3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 x14ac:dyDescent="0.3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 x14ac:dyDescent="0.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x14ac:dyDescent="0.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x14ac:dyDescent="0.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x14ac:dyDescent="0.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 x14ac:dyDescent="0.3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 x14ac:dyDescent="0.3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x14ac:dyDescent="0.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 x14ac:dyDescent="0.3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 x14ac:dyDescent="0.3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x14ac:dyDescent="0.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 x14ac:dyDescent="0.3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 x14ac:dyDescent="0.3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 x14ac:dyDescent="0.3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x14ac:dyDescent="0.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 x14ac:dyDescent="0.3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x14ac:dyDescent="0.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 x14ac:dyDescent="0.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 x14ac:dyDescent="0.3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x14ac:dyDescent="0.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x14ac:dyDescent="0.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 x14ac:dyDescent="0.3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 x14ac:dyDescent="0.3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 x14ac:dyDescent="0.3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 x14ac:dyDescent="0.3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 x14ac:dyDescent="0.3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 x14ac:dyDescent="0.3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 x14ac:dyDescent="0.3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x14ac:dyDescent="0.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x14ac:dyDescent="0.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x14ac:dyDescent="0.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x14ac:dyDescent="0.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 x14ac:dyDescent="0.3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x14ac:dyDescent="0.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 x14ac:dyDescent="0.3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 x14ac:dyDescent="0.3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 x14ac:dyDescent="0.3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x14ac:dyDescent="0.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x14ac:dyDescent="0.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 x14ac:dyDescent="0.3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 x14ac:dyDescent="0.3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 x14ac:dyDescent="0.3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x14ac:dyDescent="0.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x14ac:dyDescent="0.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x14ac:dyDescent="0.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 x14ac:dyDescent="0.3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 x14ac:dyDescent="0.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 x14ac:dyDescent="0.3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 x14ac:dyDescent="0.3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 x14ac:dyDescent="0.3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 x14ac:dyDescent="0.3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 x14ac:dyDescent="0.3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 x14ac:dyDescent="0.3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 x14ac:dyDescent="0.3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x14ac:dyDescent="0.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 x14ac:dyDescent="0.3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x14ac:dyDescent="0.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x14ac:dyDescent="0.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x14ac:dyDescent="0.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 x14ac:dyDescent="0.3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 x14ac:dyDescent="0.3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x14ac:dyDescent="0.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 x14ac:dyDescent="0.3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 x14ac:dyDescent="0.3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 x14ac:dyDescent="0.3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 x14ac:dyDescent="0.3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 x14ac:dyDescent="0.3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 x14ac:dyDescent="0.3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 x14ac:dyDescent="0.3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 x14ac:dyDescent="0.3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 x14ac:dyDescent="0.3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 x14ac:dyDescent="0.3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 x14ac:dyDescent="0.3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 x14ac:dyDescent="0.3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 x14ac:dyDescent="0.3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 x14ac:dyDescent="0.3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 x14ac:dyDescent="0.3"/>
  <cols>
    <col min="2" max="2" width="21.85546875" bestFit="1" customWidth="1"/>
    <col min="3" max="3" width="10.7109375" bestFit="1" customWidth="1"/>
  </cols>
  <sheetData>
    <row r="1" spans="1:3" x14ac:dyDescent="0.3">
      <c r="A1" s="10" t="s">
        <v>961</v>
      </c>
      <c r="B1" s="10" t="s">
        <v>113</v>
      </c>
      <c r="C1" s="11" t="s">
        <v>114</v>
      </c>
    </row>
    <row r="2" spans="1:3" x14ac:dyDescent="0.3">
      <c r="A2" s="8">
        <v>1</v>
      </c>
      <c r="B2" s="12" t="s">
        <v>477</v>
      </c>
      <c r="C2" s="9" t="s">
        <v>478</v>
      </c>
    </row>
    <row r="3" spans="1:3" x14ac:dyDescent="0.3">
      <c r="A3" s="8">
        <v>2</v>
      </c>
      <c r="B3" s="12" t="s">
        <v>453</v>
      </c>
      <c r="C3" s="9" t="s">
        <v>454</v>
      </c>
    </row>
    <row r="4" spans="1:3" x14ac:dyDescent="0.3">
      <c r="A4" s="8">
        <v>3</v>
      </c>
      <c r="B4" s="12" t="s">
        <v>853</v>
      </c>
      <c r="C4" s="9" t="s">
        <v>854</v>
      </c>
    </row>
    <row r="5" spans="1:3" x14ac:dyDescent="0.3">
      <c r="A5" s="8">
        <v>4</v>
      </c>
      <c r="B5" s="12" t="s">
        <v>287</v>
      </c>
      <c r="C5" s="9" t="s">
        <v>288</v>
      </c>
    </row>
    <row r="6" spans="1:3" x14ac:dyDescent="0.3">
      <c r="A6" s="8">
        <v>5</v>
      </c>
      <c r="B6" s="12" t="s">
        <v>656</v>
      </c>
      <c r="C6" s="9" t="s">
        <v>657</v>
      </c>
    </row>
    <row r="7" spans="1:3" x14ac:dyDescent="0.3">
      <c r="A7" s="8">
        <v>6</v>
      </c>
      <c r="B7" s="12" t="s">
        <v>455</v>
      </c>
      <c r="C7" s="9" t="s">
        <v>456</v>
      </c>
    </row>
    <row r="8" spans="1:3" x14ac:dyDescent="0.3">
      <c r="A8" s="8">
        <v>7</v>
      </c>
      <c r="B8" s="12" t="s">
        <v>231</v>
      </c>
      <c r="C8" s="9" t="s">
        <v>232</v>
      </c>
    </row>
    <row r="9" spans="1:3" x14ac:dyDescent="0.3">
      <c r="A9" s="8">
        <v>8</v>
      </c>
      <c r="B9" s="12" t="s">
        <v>711</v>
      </c>
      <c r="C9" s="9" t="s">
        <v>712</v>
      </c>
    </row>
    <row r="10" spans="1:3" x14ac:dyDescent="0.3">
      <c r="A10" s="8">
        <v>9</v>
      </c>
      <c r="B10" s="12" t="s">
        <v>694</v>
      </c>
      <c r="C10" s="9" t="s">
        <v>695</v>
      </c>
    </row>
    <row r="11" spans="1:3" x14ac:dyDescent="0.3">
      <c r="A11" s="8">
        <v>10</v>
      </c>
      <c r="B11" s="12" t="s">
        <v>633</v>
      </c>
      <c r="C11" s="9" t="s">
        <v>634</v>
      </c>
    </row>
    <row r="12" spans="1:3" x14ac:dyDescent="0.3">
      <c r="A12" s="8">
        <v>11</v>
      </c>
      <c r="B12" s="12" t="s">
        <v>683</v>
      </c>
      <c r="C12" s="9" t="s">
        <v>684</v>
      </c>
    </row>
    <row r="13" spans="1:3" x14ac:dyDescent="0.3">
      <c r="A13" s="8">
        <v>12</v>
      </c>
      <c r="B13" s="12" t="s">
        <v>917</v>
      </c>
      <c r="C13" s="9" t="s">
        <v>918</v>
      </c>
    </row>
    <row r="14" spans="1:3" x14ac:dyDescent="0.3">
      <c r="A14" s="8">
        <v>13</v>
      </c>
      <c r="B14" s="12" t="s">
        <v>800</v>
      </c>
      <c r="C14" s="9" t="s">
        <v>801</v>
      </c>
    </row>
    <row r="15" spans="1:3" x14ac:dyDescent="0.3">
      <c r="A15" s="8">
        <v>14</v>
      </c>
      <c r="B15" s="12" t="s">
        <v>715</v>
      </c>
      <c r="C15" s="9" t="s">
        <v>716</v>
      </c>
    </row>
    <row r="16" spans="1:3" x14ac:dyDescent="0.3">
      <c r="A16" s="8">
        <v>15</v>
      </c>
      <c r="B16" s="12" t="s">
        <v>871</v>
      </c>
      <c r="C16" s="9" t="s">
        <v>872</v>
      </c>
    </row>
    <row r="17" spans="1:3" x14ac:dyDescent="0.3">
      <c r="A17" s="8">
        <v>16</v>
      </c>
      <c r="B17" s="12" t="s">
        <v>753</v>
      </c>
      <c r="C17" s="9" t="s">
        <v>754</v>
      </c>
    </row>
    <row r="18" spans="1:3" x14ac:dyDescent="0.3">
      <c r="A18" s="8">
        <v>17</v>
      </c>
      <c r="B18" s="12" t="s">
        <v>390</v>
      </c>
      <c r="C18" s="9" t="s">
        <v>391</v>
      </c>
    </row>
    <row r="19" spans="1:3" x14ac:dyDescent="0.3">
      <c r="A19" s="8">
        <v>18</v>
      </c>
      <c r="B19" s="12" t="s">
        <v>451</v>
      </c>
      <c r="C19" s="9" t="s">
        <v>452</v>
      </c>
    </row>
    <row r="20" spans="1:3" x14ac:dyDescent="0.3">
      <c r="A20" s="8">
        <v>19</v>
      </c>
      <c r="B20" s="12" t="s">
        <v>448</v>
      </c>
      <c r="C20" s="9" t="s">
        <v>449</v>
      </c>
    </row>
    <row r="21" spans="1:3" x14ac:dyDescent="0.3">
      <c r="A21" s="8">
        <v>20</v>
      </c>
      <c r="B21" s="12" t="s">
        <v>474</v>
      </c>
      <c r="C21" s="9" t="s">
        <v>475</v>
      </c>
    </row>
    <row r="22" spans="1:3" x14ac:dyDescent="0.3">
      <c r="A22" s="8">
        <v>21</v>
      </c>
      <c r="B22" s="12" t="s">
        <v>187</v>
      </c>
      <c r="C22" s="9" t="s">
        <v>188</v>
      </c>
    </row>
    <row r="23" spans="1:3" x14ac:dyDescent="0.3">
      <c r="A23" s="8">
        <v>22</v>
      </c>
      <c r="B23" s="12" t="s">
        <v>314</v>
      </c>
      <c r="C23" s="9" t="s">
        <v>315</v>
      </c>
    </row>
    <row r="24" spans="1:3" x14ac:dyDescent="0.3">
      <c r="A24" s="8">
        <v>23</v>
      </c>
      <c r="B24" s="12" t="s">
        <v>697</v>
      </c>
      <c r="C24" s="9" t="s">
        <v>698</v>
      </c>
    </row>
    <row r="25" spans="1:3" x14ac:dyDescent="0.3">
      <c r="A25" s="8">
        <v>24</v>
      </c>
      <c r="B25" s="12" t="s">
        <v>125</v>
      </c>
      <c r="C25" s="9" t="s">
        <v>126</v>
      </c>
    </row>
    <row r="26" spans="1:3" x14ac:dyDescent="0.3">
      <c r="A26" s="8">
        <v>25</v>
      </c>
      <c r="B26" s="12" t="s">
        <v>323</v>
      </c>
      <c r="C26" s="9" t="s">
        <v>324</v>
      </c>
    </row>
    <row r="27" spans="1:3" x14ac:dyDescent="0.3">
      <c r="A27" s="8">
        <v>26</v>
      </c>
      <c r="B27" s="12" t="s">
        <v>627</v>
      </c>
      <c r="C27" s="9" t="s">
        <v>628</v>
      </c>
    </row>
    <row r="28" spans="1:3" x14ac:dyDescent="0.3">
      <c r="A28" s="8">
        <v>27</v>
      </c>
      <c r="B28" s="12" t="s">
        <v>883</v>
      </c>
      <c r="C28" s="9" t="s">
        <v>884</v>
      </c>
    </row>
    <row r="29" spans="1:3" x14ac:dyDescent="0.3">
      <c r="A29" s="8">
        <v>28</v>
      </c>
      <c r="B29" s="12" t="s">
        <v>561</v>
      </c>
      <c r="C29" s="9" t="s">
        <v>562</v>
      </c>
    </row>
    <row r="30" spans="1:3" x14ac:dyDescent="0.3">
      <c r="A30" s="8">
        <v>29</v>
      </c>
      <c r="B30" s="12" t="s">
        <v>909</v>
      </c>
      <c r="C30" s="9" t="s">
        <v>910</v>
      </c>
    </row>
    <row r="31" spans="1:3" x14ac:dyDescent="0.3">
      <c r="A31" s="8">
        <v>30</v>
      </c>
      <c r="B31" s="12" t="s">
        <v>184</v>
      </c>
      <c r="C31" s="9" t="s">
        <v>185</v>
      </c>
    </row>
    <row r="32" spans="1:3" x14ac:dyDescent="0.3">
      <c r="A32" s="8">
        <v>31</v>
      </c>
      <c r="B32" s="12" t="s">
        <v>860</v>
      </c>
      <c r="C32" s="9" t="s">
        <v>861</v>
      </c>
    </row>
    <row r="33" spans="1:3" x14ac:dyDescent="0.3">
      <c r="A33" s="8">
        <v>32</v>
      </c>
      <c r="B33" s="12" t="s">
        <v>446</v>
      </c>
      <c r="C33" s="9" t="s">
        <v>447</v>
      </c>
    </row>
    <row r="34" spans="1:3" x14ac:dyDescent="0.3">
      <c r="A34" s="8">
        <v>33</v>
      </c>
      <c r="B34" s="12" t="s">
        <v>672</v>
      </c>
      <c r="C34" s="9" t="s">
        <v>673</v>
      </c>
    </row>
    <row r="35" spans="1:3" x14ac:dyDescent="0.3">
      <c r="A35" s="8">
        <v>34</v>
      </c>
      <c r="B35" s="12" t="s">
        <v>428</v>
      </c>
      <c r="C35" s="9" t="s">
        <v>429</v>
      </c>
    </row>
    <row r="36" spans="1:3" x14ac:dyDescent="0.3">
      <c r="A36" s="8">
        <v>35</v>
      </c>
      <c r="B36" s="12" t="s">
        <v>637</v>
      </c>
      <c r="C36" s="9" t="s">
        <v>638</v>
      </c>
    </row>
    <row r="37" spans="1:3" x14ac:dyDescent="0.3">
      <c r="A37" s="8">
        <v>36</v>
      </c>
      <c r="B37" s="12" t="s">
        <v>819</v>
      </c>
      <c r="C37" s="9" t="s">
        <v>820</v>
      </c>
    </row>
    <row r="38" spans="1:3" x14ac:dyDescent="0.3">
      <c r="A38" s="8">
        <v>37</v>
      </c>
      <c r="B38" s="12" t="s">
        <v>514</v>
      </c>
      <c r="C38" s="9" t="s">
        <v>515</v>
      </c>
    </row>
    <row r="39" spans="1:3" x14ac:dyDescent="0.3">
      <c r="A39" s="8">
        <v>38</v>
      </c>
      <c r="B39" s="12" t="s">
        <v>830</v>
      </c>
      <c r="C39" s="9" t="s">
        <v>831</v>
      </c>
    </row>
    <row r="40" spans="1:3" x14ac:dyDescent="0.3">
      <c r="A40" s="8">
        <v>39</v>
      </c>
      <c r="B40" s="12" t="s">
        <v>285</v>
      </c>
      <c r="C40" s="9" t="s">
        <v>286</v>
      </c>
    </row>
    <row r="41" spans="1:3" x14ac:dyDescent="0.3">
      <c r="A41" s="8">
        <v>40</v>
      </c>
      <c r="B41" s="12" t="s">
        <v>583</v>
      </c>
      <c r="C41" s="9" t="s">
        <v>584</v>
      </c>
    </row>
    <row r="42" spans="1:3" x14ac:dyDescent="0.3">
      <c r="A42" s="8">
        <v>41</v>
      </c>
      <c r="B42" s="12" t="s">
        <v>357</v>
      </c>
      <c r="C42" s="9" t="s">
        <v>358</v>
      </c>
    </row>
    <row r="43" spans="1:3" x14ac:dyDescent="0.3">
      <c r="A43" s="8">
        <v>42</v>
      </c>
      <c r="B43" s="12" t="s">
        <v>702</v>
      </c>
      <c r="C43" s="9" t="s">
        <v>703</v>
      </c>
    </row>
    <row r="44" spans="1:3" x14ac:dyDescent="0.3">
      <c r="A44" s="8">
        <v>43</v>
      </c>
      <c r="B44" s="12" t="s">
        <v>609</v>
      </c>
      <c r="C44" s="9" t="s">
        <v>610</v>
      </c>
    </row>
    <row r="45" spans="1:3" x14ac:dyDescent="0.3">
      <c r="A45" s="8">
        <v>44</v>
      </c>
      <c r="B45" s="12" t="s">
        <v>423</v>
      </c>
      <c r="C45" s="9" t="s">
        <v>424</v>
      </c>
    </row>
    <row r="46" spans="1:3" x14ac:dyDescent="0.3">
      <c r="A46" s="8">
        <v>45</v>
      </c>
      <c r="B46" s="12" t="s">
        <v>612</v>
      </c>
      <c r="C46" s="9" t="s">
        <v>613</v>
      </c>
    </row>
    <row r="47" spans="1:3" x14ac:dyDescent="0.3">
      <c r="A47" s="8">
        <v>46</v>
      </c>
      <c r="B47" s="12" t="s">
        <v>155</v>
      </c>
      <c r="C47" s="9" t="s">
        <v>156</v>
      </c>
    </row>
    <row r="48" spans="1:3" x14ac:dyDescent="0.3">
      <c r="A48" s="8">
        <v>47</v>
      </c>
      <c r="B48" s="12" t="s">
        <v>914</v>
      </c>
      <c r="C48" s="9" t="s">
        <v>915</v>
      </c>
    </row>
    <row r="49" spans="1:3" x14ac:dyDescent="0.3">
      <c r="A49" s="8">
        <v>48</v>
      </c>
      <c r="B49" s="12" t="s">
        <v>717</v>
      </c>
      <c r="C49" s="9" t="s">
        <v>718</v>
      </c>
    </row>
    <row r="50" spans="1:3" x14ac:dyDescent="0.3">
      <c r="A50" s="8">
        <v>49</v>
      </c>
      <c r="B50" s="12" t="s">
        <v>916</v>
      </c>
      <c r="C50" s="9" t="s">
        <v>475</v>
      </c>
    </row>
    <row r="51" spans="1:3" x14ac:dyDescent="0.3">
      <c r="A51" s="8">
        <v>50</v>
      </c>
      <c r="B51" s="12" t="s">
        <v>890</v>
      </c>
      <c r="C51" s="9" t="s">
        <v>891</v>
      </c>
    </row>
    <row r="52" spans="1:3" x14ac:dyDescent="0.3">
      <c r="A52" s="8">
        <v>51</v>
      </c>
      <c r="B52" s="12" t="s">
        <v>310</v>
      </c>
      <c r="C52" s="9" t="s">
        <v>311</v>
      </c>
    </row>
    <row r="53" spans="1:3" x14ac:dyDescent="0.3">
      <c r="A53" s="8">
        <v>52</v>
      </c>
      <c r="B53" s="12" t="s">
        <v>624</v>
      </c>
      <c r="C53" s="9" t="s">
        <v>625</v>
      </c>
    </row>
    <row r="54" spans="1:3" x14ac:dyDescent="0.3">
      <c r="A54" s="8">
        <v>53</v>
      </c>
      <c r="B54" s="12" t="s">
        <v>216</v>
      </c>
      <c r="C54" s="9" t="s">
        <v>217</v>
      </c>
    </row>
    <row r="55" spans="1:3" x14ac:dyDescent="0.3">
      <c r="A55" s="8">
        <v>54</v>
      </c>
      <c r="B55" s="12" t="s">
        <v>499</v>
      </c>
      <c r="C55" s="9" t="s">
        <v>500</v>
      </c>
    </row>
    <row r="56" spans="1:3" x14ac:dyDescent="0.3">
      <c r="A56" s="8">
        <v>55</v>
      </c>
      <c r="B56" s="12" t="s">
        <v>807</v>
      </c>
      <c r="C56" s="9" t="s">
        <v>288</v>
      </c>
    </row>
    <row r="57" spans="1:3" x14ac:dyDescent="0.3">
      <c r="A57" s="8">
        <v>56</v>
      </c>
      <c r="B57" s="12" t="s">
        <v>814</v>
      </c>
      <c r="C57" s="9" t="s">
        <v>815</v>
      </c>
    </row>
    <row r="58" spans="1:3" x14ac:dyDescent="0.3">
      <c r="A58" s="8">
        <v>57</v>
      </c>
      <c r="B58" s="12" t="s">
        <v>581</v>
      </c>
      <c r="C58" s="9" t="s">
        <v>582</v>
      </c>
    </row>
    <row r="59" spans="1:3" x14ac:dyDescent="0.3">
      <c r="A59" s="8">
        <v>58</v>
      </c>
      <c r="B59" s="12" t="s">
        <v>827</v>
      </c>
      <c r="C59" s="9" t="s">
        <v>828</v>
      </c>
    </row>
    <row r="60" spans="1:3" x14ac:dyDescent="0.3">
      <c r="A60" s="8">
        <v>59</v>
      </c>
      <c r="B60" s="12" t="s">
        <v>161</v>
      </c>
      <c r="C60" s="9" t="s">
        <v>162</v>
      </c>
    </row>
    <row r="61" spans="1:3" x14ac:dyDescent="0.3">
      <c r="A61" s="8">
        <v>60</v>
      </c>
      <c r="B61" s="12" t="s">
        <v>213</v>
      </c>
      <c r="C61" s="9" t="s">
        <v>214</v>
      </c>
    </row>
    <row r="62" spans="1:3" x14ac:dyDescent="0.3">
      <c r="A62" s="8">
        <v>61</v>
      </c>
      <c r="B62" s="12" t="s">
        <v>713</v>
      </c>
      <c r="C62" s="9" t="s">
        <v>714</v>
      </c>
    </row>
    <row r="63" spans="1:3" x14ac:dyDescent="0.3">
      <c r="A63" s="8">
        <v>62</v>
      </c>
      <c r="B63" s="12" t="s">
        <v>523</v>
      </c>
      <c r="C63" s="9" t="s">
        <v>524</v>
      </c>
    </row>
    <row r="64" spans="1:3" x14ac:dyDescent="0.3">
      <c r="A64" s="8">
        <v>63</v>
      </c>
      <c r="B64" s="12" t="s">
        <v>692</v>
      </c>
      <c r="C64" s="9" t="s">
        <v>693</v>
      </c>
    </row>
    <row r="65" spans="1:3" x14ac:dyDescent="0.3">
      <c r="A65" s="8">
        <v>64</v>
      </c>
      <c r="B65" s="12" t="s">
        <v>855</v>
      </c>
      <c r="C65" s="9" t="s">
        <v>856</v>
      </c>
    </row>
    <row r="66" spans="1:3" x14ac:dyDescent="0.3">
      <c r="A66" s="8">
        <v>65</v>
      </c>
      <c r="B66" s="12" t="s">
        <v>787</v>
      </c>
      <c r="C66" s="9" t="s">
        <v>788</v>
      </c>
    </row>
    <row r="67" spans="1:3" x14ac:dyDescent="0.3">
      <c r="A67" s="8">
        <v>66</v>
      </c>
      <c r="B67" s="12" t="s">
        <v>272</v>
      </c>
      <c r="C67" s="9" t="s">
        <v>273</v>
      </c>
    </row>
    <row r="68" spans="1:3" x14ac:dyDescent="0.3">
      <c r="A68" s="8">
        <v>67</v>
      </c>
      <c r="B68" s="12" t="s">
        <v>167</v>
      </c>
      <c r="C68" s="9" t="s">
        <v>168</v>
      </c>
    </row>
    <row r="69" spans="1:3" x14ac:dyDescent="0.3">
      <c r="A69" s="8">
        <v>68</v>
      </c>
      <c r="B69" s="12" t="s">
        <v>756</v>
      </c>
      <c r="C69" s="9" t="s">
        <v>757</v>
      </c>
    </row>
    <row r="70" spans="1:3" x14ac:dyDescent="0.3">
      <c r="A70" s="8">
        <v>69</v>
      </c>
      <c r="B70" s="12" t="s">
        <v>461</v>
      </c>
      <c r="C70" s="9" t="s">
        <v>462</v>
      </c>
    </row>
    <row r="71" spans="1:3" x14ac:dyDescent="0.3">
      <c r="A71" s="8">
        <v>70</v>
      </c>
      <c r="B71" s="12" t="s">
        <v>821</v>
      </c>
      <c r="C71" s="9" t="s">
        <v>822</v>
      </c>
    </row>
    <row r="72" spans="1:3" x14ac:dyDescent="0.3">
      <c r="A72" s="8">
        <v>71</v>
      </c>
      <c r="B72" s="12" t="s">
        <v>720</v>
      </c>
      <c r="C72" s="9" t="s">
        <v>721</v>
      </c>
    </row>
    <row r="73" spans="1:3" x14ac:dyDescent="0.3">
      <c r="A73" s="8">
        <v>72</v>
      </c>
      <c r="B73" s="12" t="s">
        <v>190</v>
      </c>
      <c r="C73" s="9" t="s">
        <v>191</v>
      </c>
    </row>
    <row r="74" spans="1:3" x14ac:dyDescent="0.3">
      <c r="A74" s="8">
        <v>73</v>
      </c>
      <c r="B74" s="12" t="s">
        <v>728</v>
      </c>
      <c r="C74" s="9" t="s">
        <v>729</v>
      </c>
    </row>
    <row r="75" spans="1:3" x14ac:dyDescent="0.3">
      <c r="A75" s="8">
        <v>74</v>
      </c>
      <c r="B75" s="12" t="s">
        <v>770</v>
      </c>
      <c r="C75" s="9" t="s">
        <v>771</v>
      </c>
    </row>
    <row r="76" spans="1:3" x14ac:dyDescent="0.3">
      <c r="A76" s="8">
        <v>75</v>
      </c>
      <c r="B76" s="12" t="s">
        <v>573</v>
      </c>
      <c r="C76" s="9" t="s">
        <v>574</v>
      </c>
    </row>
    <row r="77" spans="1:3" x14ac:dyDescent="0.3">
      <c r="A77" s="8">
        <v>76</v>
      </c>
      <c r="B77" s="12" t="s">
        <v>886</v>
      </c>
      <c r="C77" s="9" t="s">
        <v>887</v>
      </c>
    </row>
    <row r="78" spans="1:3" x14ac:dyDescent="0.3">
      <c r="A78" s="8">
        <v>77</v>
      </c>
      <c r="B78" s="12" t="s">
        <v>758</v>
      </c>
      <c r="C78" s="9" t="s">
        <v>759</v>
      </c>
    </row>
    <row r="79" spans="1:3" x14ac:dyDescent="0.3">
      <c r="A79" s="8">
        <v>78</v>
      </c>
      <c r="B79" s="12" t="s">
        <v>276</v>
      </c>
      <c r="C79" s="9" t="s">
        <v>277</v>
      </c>
    </row>
    <row r="80" spans="1:3" x14ac:dyDescent="0.3">
      <c r="A80" s="8">
        <v>79</v>
      </c>
      <c r="B80" s="12" t="s">
        <v>596</v>
      </c>
      <c r="C80" s="9" t="s">
        <v>597</v>
      </c>
    </row>
    <row r="81" spans="1:3" x14ac:dyDescent="0.3">
      <c r="A81" s="8">
        <v>80</v>
      </c>
      <c r="B81" s="12" t="s">
        <v>849</v>
      </c>
      <c r="C81" s="9" t="s">
        <v>850</v>
      </c>
    </row>
    <row r="82" spans="1:3" x14ac:dyDescent="0.3">
      <c r="A82" s="8">
        <v>81</v>
      </c>
      <c r="B82" s="12" t="s">
        <v>739</v>
      </c>
      <c r="C82" s="9" t="s">
        <v>740</v>
      </c>
    </row>
    <row r="83" spans="1:3" x14ac:dyDescent="0.3">
      <c r="A83" s="8">
        <v>82</v>
      </c>
      <c r="B83" s="12" t="s">
        <v>375</v>
      </c>
      <c r="C83" s="9" t="s">
        <v>376</v>
      </c>
    </row>
    <row r="84" spans="1:3" x14ac:dyDescent="0.3">
      <c r="A84" s="8">
        <v>83</v>
      </c>
      <c r="B84" s="12" t="s">
        <v>268</v>
      </c>
      <c r="C84" s="9" t="s">
        <v>269</v>
      </c>
    </row>
    <row r="85" spans="1:3" x14ac:dyDescent="0.3">
      <c r="A85" s="8">
        <v>84</v>
      </c>
      <c r="B85" s="12" t="s">
        <v>222</v>
      </c>
      <c r="C85" s="9" t="s">
        <v>223</v>
      </c>
    </row>
    <row r="86" spans="1:3" x14ac:dyDescent="0.3">
      <c r="A86" s="8">
        <v>85</v>
      </c>
      <c r="B86" s="12" t="s">
        <v>533</v>
      </c>
      <c r="C86" s="9" t="s">
        <v>534</v>
      </c>
    </row>
    <row r="87" spans="1:3" x14ac:dyDescent="0.3">
      <c r="A87" s="8">
        <v>86</v>
      </c>
      <c r="B87" s="12" t="s">
        <v>600</v>
      </c>
      <c r="C87" s="9" t="s">
        <v>601</v>
      </c>
    </row>
    <row r="88" spans="1:3" x14ac:dyDescent="0.3">
      <c r="A88" s="8">
        <v>87</v>
      </c>
      <c r="B88" s="12" t="s">
        <v>852</v>
      </c>
      <c r="C88" s="9" t="s">
        <v>426</v>
      </c>
    </row>
    <row r="89" spans="1:3" x14ac:dyDescent="0.3">
      <c r="A89" s="8">
        <v>88</v>
      </c>
      <c r="B89" s="12" t="s">
        <v>437</v>
      </c>
      <c r="C89" s="9" t="s">
        <v>438</v>
      </c>
    </row>
    <row r="90" spans="1:3" x14ac:dyDescent="0.3">
      <c r="A90" s="8">
        <v>89</v>
      </c>
      <c r="B90" s="12" t="s">
        <v>312</v>
      </c>
      <c r="C90" s="9" t="s">
        <v>313</v>
      </c>
    </row>
    <row r="91" spans="1:3" x14ac:dyDescent="0.3">
      <c r="A91" s="8">
        <v>90</v>
      </c>
      <c r="B91" s="12" t="s">
        <v>617</v>
      </c>
      <c r="C91" s="9" t="s">
        <v>618</v>
      </c>
    </row>
    <row r="92" spans="1:3" x14ac:dyDescent="0.3">
      <c r="A92" s="8">
        <v>91</v>
      </c>
      <c r="B92" s="12" t="s">
        <v>307</v>
      </c>
      <c r="C92" s="9" t="s">
        <v>308</v>
      </c>
    </row>
    <row r="93" spans="1:3" x14ac:dyDescent="0.3">
      <c r="A93" s="8">
        <v>92</v>
      </c>
      <c r="B93" s="12" t="s">
        <v>317</v>
      </c>
      <c r="C93" s="9" t="s">
        <v>318</v>
      </c>
    </row>
    <row r="94" spans="1:3" x14ac:dyDescent="0.3">
      <c r="A94" s="8">
        <v>93</v>
      </c>
      <c r="B94" s="12" t="s">
        <v>880</v>
      </c>
      <c r="C94" s="9" t="s">
        <v>881</v>
      </c>
    </row>
    <row r="95" spans="1:3" x14ac:dyDescent="0.3">
      <c r="A95" s="8">
        <v>94</v>
      </c>
      <c r="B95" s="12" t="s">
        <v>373</v>
      </c>
      <c r="C95" s="9" t="s">
        <v>374</v>
      </c>
    </row>
    <row r="96" spans="1:3" x14ac:dyDescent="0.3">
      <c r="A96" s="8">
        <v>95</v>
      </c>
      <c r="B96" s="12" t="s">
        <v>559</v>
      </c>
      <c r="C96" s="9" t="s">
        <v>560</v>
      </c>
    </row>
    <row r="97" spans="1:3" x14ac:dyDescent="0.3">
      <c r="A97" s="8">
        <v>96</v>
      </c>
      <c r="B97" s="12" t="s">
        <v>791</v>
      </c>
      <c r="C97" s="9" t="s">
        <v>792</v>
      </c>
    </row>
    <row r="98" spans="1:3" x14ac:dyDescent="0.3">
      <c r="A98" s="8">
        <v>97</v>
      </c>
      <c r="B98" s="12" t="s">
        <v>298</v>
      </c>
      <c r="C98" s="9" t="s">
        <v>299</v>
      </c>
    </row>
    <row r="99" spans="1:3" x14ac:dyDescent="0.3">
      <c r="A99" s="8">
        <v>98</v>
      </c>
      <c r="B99" s="12" t="s">
        <v>776</v>
      </c>
      <c r="C99" s="9" t="s">
        <v>777</v>
      </c>
    </row>
    <row r="100" spans="1:3" x14ac:dyDescent="0.3">
      <c r="A100" s="8">
        <v>99</v>
      </c>
      <c r="B100" s="12" t="s">
        <v>348</v>
      </c>
      <c r="C100" s="9" t="s">
        <v>349</v>
      </c>
    </row>
    <row r="101" spans="1:3" x14ac:dyDescent="0.3">
      <c r="A101" s="8">
        <v>100</v>
      </c>
      <c r="B101" s="12" t="s">
        <v>661</v>
      </c>
      <c r="C101" s="9" t="s">
        <v>662</v>
      </c>
    </row>
    <row r="102" spans="1:3" x14ac:dyDescent="0.3">
      <c r="A102" s="8">
        <v>101</v>
      </c>
      <c r="B102" s="12" t="s">
        <v>794</v>
      </c>
      <c r="C102" s="9" t="s">
        <v>795</v>
      </c>
    </row>
    <row r="103" spans="1:3" x14ac:dyDescent="0.3">
      <c r="A103" s="8">
        <v>102</v>
      </c>
      <c r="B103" s="12" t="s">
        <v>225</v>
      </c>
      <c r="C103" s="9" t="s">
        <v>226</v>
      </c>
    </row>
    <row r="104" spans="1:3" x14ac:dyDescent="0.3">
      <c r="A104" s="8">
        <v>103</v>
      </c>
      <c r="B104" s="12" t="s">
        <v>646</v>
      </c>
      <c r="C104" s="9" t="s">
        <v>647</v>
      </c>
    </row>
    <row r="105" spans="1:3" x14ac:dyDescent="0.3">
      <c r="A105" s="8">
        <v>104</v>
      </c>
      <c r="B105" s="12" t="s">
        <v>370</v>
      </c>
      <c r="C105" s="9" t="s">
        <v>371</v>
      </c>
    </row>
    <row r="106" spans="1:3" x14ac:dyDescent="0.3">
      <c r="A106" s="8">
        <v>105</v>
      </c>
      <c r="B106" s="12" t="s">
        <v>789</v>
      </c>
      <c r="C106" s="9" t="s">
        <v>790</v>
      </c>
    </row>
    <row r="107" spans="1:3" x14ac:dyDescent="0.3">
      <c r="A107" s="8">
        <v>106</v>
      </c>
      <c r="B107" s="12" t="s">
        <v>749</v>
      </c>
      <c r="C107" s="9" t="s">
        <v>750</v>
      </c>
    </row>
    <row r="108" spans="1:3" x14ac:dyDescent="0.3">
      <c r="A108" s="8">
        <v>107</v>
      </c>
      <c r="B108" s="12" t="s">
        <v>279</v>
      </c>
      <c r="C108" s="9" t="s">
        <v>280</v>
      </c>
    </row>
    <row r="109" spans="1:3" x14ac:dyDescent="0.3">
      <c r="A109" s="8">
        <v>108</v>
      </c>
      <c r="B109" s="12" t="s">
        <v>544</v>
      </c>
      <c r="C109" s="9" t="s">
        <v>545</v>
      </c>
    </row>
    <row r="110" spans="1:3" x14ac:dyDescent="0.3">
      <c r="A110" s="8">
        <v>109</v>
      </c>
      <c r="B110" s="12" t="s">
        <v>924</v>
      </c>
      <c r="C110" s="9" t="s">
        <v>925</v>
      </c>
    </row>
    <row r="111" spans="1:3" x14ac:dyDescent="0.3">
      <c r="A111" s="8">
        <v>110</v>
      </c>
      <c r="B111" s="12" t="s">
        <v>747</v>
      </c>
      <c r="C111" s="9" t="s">
        <v>748</v>
      </c>
    </row>
    <row r="112" spans="1:3" x14ac:dyDescent="0.3">
      <c r="A112" s="8">
        <v>111</v>
      </c>
      <c r="B112" s="12" t="s">
        <v>650</v>
      </c>
      <c r="C112" s="9" t="s">
        <v>515</v>
      </c>
    </row>
    <row r="113" spans="1:3" x14ac:dyDescent="0.3">
      <c r="A113" s="8">
        <v>112</v>
      </c>
      <c r="B113" s="12" t="s">
        <v>869</v>
      </c>
      <c r="C113" s="9" t="s">
        <v>870</v>
      </c>
    </row>
    <row r="114" spans="1:3" x14ac:dyDescent="0.3">
      <c r="A114" s="8">
        <v>113</v>
      </c>
      <c r="B114" s="12" t="s">
        <v>425</v>
      </c>
      <c r="C114" s="9" t="s">
        <v>426</v>
      </c>
    </row>
    <row r="115" spans="1:3" x14ac:dyDescent="0.3">
      <c r="A115" s="8">
        <v>114</v>
      </c>
      <c r="B115" s="12" t="s">
        <v>381</v>
      </c>
      <c r="C115" s="9" t="s">
        <v>382</v>
      </c>
    </row>
    <row r="116" spans="1:3" x14ac:dyDescent="0.3">
      <c r="A116" s="8">
        <v>115</v>
      </c>
      <c r="B116" s="12" t="s">
        <v>365</v>
      </c>
      <c r="C116" s="9" t="s">
        <v>366</v>
      </c>
    </row>
    <row r="117" spans="1:3" x14ac:dyDescent="0.3">
      <c r="A117" s="8">
        <v>116</v>
      </c>
      <c r="B117" s="12" t="s">
        <v>690</v>
      </c>
      <c r="C117" s="9" t="s">
        <v>691</v>
      </c>
    </row>
    <row r="118" spans="1:3" x14ac:dyDescent="0.3">
      <c r="A118" s="8">
        <v>117</v>
      </c>
      <c r="B118" s="12" t="s">
        <v>134</v>
      </c>
      <c r="C118" s="9" t="s">
        <v>135</v>
      </c>
    </row>
    <row r="119" spans="1:3" x14ac:dyDescent="0.3">
      <c r="A119" s="8">
        <v>118</v>
      </c>
      <c r="B119" s="12" t="s">
        <v>586</v>
      </c>
      <c r="C119" s="9" t="s">
        <v>587</v>
      </c>
    </row>
    <row r="120" spans="1:3" x14ac:dyDescent="0.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Input_Data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Example_1</vt:lpstr>
      <vt:lpstr>Example_1_Alt</vt:lpstr>
      <vt:lpstr>Example_2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Admin</cp:lastModifiedBy>
  <dcterms:created xsi:type="dcterms:W3CDTF">2021-04-20T07:31:22Z</dcterms:created>
  <dcterms:modified xsi:type="dcterms:W3CDTF">2022-07-23T02:33:27Z</dcterms:modified>
</cp:coreProperties>
</file>