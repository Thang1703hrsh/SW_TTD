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/>
  <workbookPr/>
  <mc:AlternateContent xmlns:mc="http://schemas.openxmlformats.org/markup-compatibility/2006">
    <mc:Choice Requires="x15">
      <x15ac:absPath xmlns:x15ac="http://schemas.microsoft.com/office/spreadsheetml/2010/11/ac" url="C:\Users\Admin\Desktop\Sewing-Line-Simulation\"/>
    </mc:Choice>
  </mc:AlternateContent>
  <xr:revisionPtr revIDLastSave="0" documentId="13_ncr:1_{0A0FE8A3-760E-4497-BEF4-BEED81905A4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at1" sheetId="1" r:id="rId1"/>
    <sheet name="Input_Data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8" i="3" l="1"/>
  <c r="C17" i="3"/>
  <c r="C11" i="3"/>
  <c r="C7" i="3"/>
  <c r="C14" i="3" l="1"/>
  <c r="C15" i="3" s="1"/>
  <c r="C12" i="3"/>
  <c r="C13" i="3" l="1"/>
  <c r="C16" i="3" s="1"/>
</calcChain>
</file>

<file path=xl/sharedStrings.xml><?xml version="1.0" encoding="utf-8"?>
<sst xmlns="http://schemas.openxmlformats.org/spreadsheetml/2006/main" count="91" uniqueCount="71">
  <si>
    <t>SEWING LINE DETAILS</t>
  </si>
  <si>
    <t>Task Number</t>
  </si>
  <si>
    <t>Task Description</t>
  </si>
  <si>
    <t>Resource</t>
  </si>
  <si>
    <t>Precedence</t>
  </si>
  <si>
    <t>ST (Minutes)</t>
  </si>
  <si>
    <t>No of Operators</t>
  </si>
  <si>
    <t>BH</t>
  </si>
  <si>
    <t>SN/L</t>
  </si>
  <si>
    <t>5 thread O/L</t>
  </si>
  <si>
    <t>Helper</t>
  </si>
  <si>
    <t>AWM</t>
  </si>
  <si>
    <t>TM</t>
  </si>
  <si>
    <t>F/A</t>
  </si>
  <si>
    <t>3 thread O/L</t>
  </si>
  <si>
    <t>Iron press</t>
  </si>
  <si>
    <t>Ráp gáy che vào vành</t>
  </si>
  <si>
    <t>Viền lật gáy che + vành</t>
  </si>
  <si>
    <t>Gắn nhãn PL3.2 vào vành</t>
  </si>
  <si>
    <t>Viền 3.6 cm ( bọc vành nón )</t>
  </si>
  <si>
    <t>Khóa Viền vành 3.6cm</t>
  </si>
  <si>
    <t>Ráp đỉnh trái + Đỉnh phải</t>
  </si>
  <si>
    <t>Viền tẻ 2 kim đỉnh + Cắt</t>
  </si>
  <si>
    <t>Vắt sổ phản quang trái + phải + cắt</t>
  </si>
  <si>
    <t>Diễu phối phản quang 2 bên + cắt</t>
  </si>
  <si>
    <t>Ráp đỉnh vào hông phối 2 bên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</si>
  <si>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</si>
  <si>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</si>
  <si>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</si>
  <si>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</si>
  <si>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</si>
  <si>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</si>
  <si>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</si>
  <si>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</si>
  <si>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</si>
  <si>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</si>
  <si>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</si>
  <si>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</si>
  <si>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</si>
  <si>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</si>
  <si>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</si>
  <si>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</si>
  <si>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</si>
  <si>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</si>
  <si>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</si>
  <si>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</si>
  <si>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1 Kim</t>
  </si>
  <si>
    <t>2 Kim (2.2)</t>
  </si>
  <si>
    <t>Trụ ngang</t>
  </si>
  <si>
    <t>2 Kim</t>
  </si>
  <si>
    <t>18,19</t>
  </si>
  <si>
    <t>7,10</t>
  </si>
  <si>
    <t>Input</t>
  </si>
  <si>
    <t>Style Name</t>
  </si>
  <si>
    <t>Trouser - Style 002</t>
  </si>
  <si>
    <t>Customer Name</t>
  </si>
  <si>
    <t>NYTL</t>
  </si>
  <si>
    <t>Production  Time Per Day (Minutes)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</si>
  <si>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</si>
  <si>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</si>
  <si>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</si>
  <si>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</si>
  <si>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</si>
  <si>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</si>
  <si>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Bottleneck Process Time</t>
  </si>
  <si>
    <t>Maximum Production Rate Per Day</t>
  </si>
  <si>
    <t>Cycle Time (Max of Takt Time Vs Bottleneck)</t>
  </si>
  <si>
    <t>Min Number of Workstations</t>
  </si>
  <si>
    <t>Max Number of Workstations</t>
  </si>
  <si>
    <t>PRODUCTION PLAN AND DETAILS</t>
  </si>
  <si>
    <t>Ráp phản quang vào lưới phối trái + phải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</si>
</sst>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Franklin Gothic Book"/>
      <family val="2"/>
    </font>
    <font>
      <sz val="11"/>
      <color theme="1"/>
      <name val="Franklin Gothic Book"/>
      <family val="2"/>
    </font>
    <font>
      <b/>
      <u/>
      <sz val="11"/>
      <color theme="1"/>
      <name val="Amasis MT Pro Black"/>
      <family val="1"/>
    </font>
    <font>
      <b/>
      <sz val="11"/>
      <color theme="0"/>
      <name val="Franklin Gothic Book"/>
      <family val="2"/>
    </font>
    <font>
      <sz val="11"/>
      <color theme="1"/>
      <name val="Arial Narrow"/>
      <family val="2"/>
    </font>
    <font>
      <b/>
      <sz val="11"/>
      <color rgb="FF0070C0"/>
      <name val="Franklin Gothic Book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</borders>
  <cellStyleXfs count="2">
    <xf numFmtId="0" fontId="0" fillId="0" borderId="0"/>
    <xf numFmtId="0" fontId="5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/>
    <xf numFmtId="0" fontId="2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2" fillId="5" borderId="1" xfId="0" applyFont="1" applyFill="1" applyBorder="1"/>
    <xf numFmtId="0" fontId="4" fillId="3" borderId="2" xfId="1" applyFont="1" applyFill="1" applyBorder="1"/>
    <xf numFmtId="0" fontId="4" fillId="3" borderId="3" xfId="1" applyFont="1" applyFill="1" applyBorder="1" applyAlignment="1">
      <alignment horizontal="center"/>
    </xf>
    <xf numFmtId="0" fontId="2" fillId="0" borderId="4" xfId="1" applyFont="1" applyBorder="1" applyAlignment="1">
      <alignment vertical="center"/>
    </xf>
    <xf numFmtId="0" fontId="2" fillId="0" borderId="5" xfId="1" applyFont="1" applyBorder="1" applyAlignment="1">
      <alignment horizontal="center"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horizontal="center" vertical="center"/>
    </xf>
    <xf numFmtId="0" fontId="2" fillId="0" borderId="7" xfId="1" applyFont="1" applyBorder="1" applyAlignment="1">
      <alignment vertical="center"/>
    </xf>
    <xf numFmtId="15" fontId="2" fillId="0" borderId="7" xfId="1" applyNumberFormat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2" fontId="2" fillId="0" borderId="7" xfId="1" applyNumberFormat="1" applyFont="1" applyBorder="1" applyAlignment="1">
      <alignment vertical="center"/>
    </xf>
    <xf numFmtId="0" fontId="6" fillId="4" borderId="6" xfId="1" applyFont="1" applyFill="1" applyBorder="1" applyAlignment="1">
      <alignment vertical="center" wrapText="1"/>
    </xf>
    <xf numFmtId="2" fontId="6" fillId="4" borderId="7" xfId="1" applyNumberFormat="1" applyFont="1" applyFill="1" applyBorder="1" applyAlignment="1">
      <alignment vertical="center"/>
    </xf>
    <xf numFmtId="0" fontId="2" fillId="0" borderId="8" xfId="1" applyFont="1" applyBorder="1"/>
    <xf numFmtId="0" fontId="2" fillId="0" borderId="9" xfId="1" applyFont="1" applyBorder="1"/>
    <xf numFmtId="0" fontId="2" fillId="0" borderId="0" xfId="1" applyFont="1"/>
    <xf numFmtId="9" fontId="2" fillId="0" borderId="0" xfId="1" applyNumberFormat="1" applyFont="1"/>
    <xf numFmtId="0" fontId="3" fillId="2" borderId="0" xfId="0" applyFont="1" applyFill="1" applyAlignment="1">
      <alignment horizontal="center"/>
    </xf>
    <xf numFmtId="0" fontId="3" fillId="2" borderId="0" xfId="1" applyFont="1" applyFill="1" applyAlignment="1">
      <alignment horizontal="center"/>
    </xf>
    <xf numFmtId="0" fontId="2" fillId="5" borderId="0" xfId="0" applyFont="1" applyFill="1"/>
  </cellXfs>
  <cellStyles count="2">
    <cellStyle name="Normal" xfId="0" builtinId="0"/>
    <cellStyle name="Normal 2" xfId="1" xr:uid="{674B6199-EA62-476E-B405-ED868F38B82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6"/>
  <sheetViews>
    <sheetView tabSelected="1" topLeftCell="A7" workbookViewId="0">
      <selection activeCell="H24" sqref="H24"/>
    </sheetView>
  </sheetViews>
  <sheetFormatPr defaultColWidth="0" defaultRowHeight="15.75" x14ac:dyDescent="0.3"/>
  <cols>
    <col min="1" max="1" width="2.7109375" style="2" customWidth="1"/>
    <col min="2" max="2" width="21.140625" style="2" bestFit="1" customWidth="1"/>
    <col min="3" max="3" width="36.140625" style="2" bestFit="1" customWidth="1"/>
    <col min="4" max="4" width="28.42578125" style="2" bestFit="1" customWidth="1"/>
    <col min="5" max="7" width="21.140625" style="2" bestFit="1" customWidth="1"/>
    <col min="8" max="9" width="9" style="2" customWidth="1"/>
    <col min="10" max="10" width="0" style="2" hidden="1" customWidth="1"/>
    <col min="11" max="16384" width="9" style="2" hidden="1"/>
  </cols>
  <sheetData>
    <row r="1" spans="2:7" x14ac:dyDescent="0.3">
      <c r="B1" s="1"/>
      <c r="C1" s="1"/>
      <c r="D1" s="1"/>
    </row>
    <row r="2" spans="2:7" x14ac:dyDescent="0.3">
      <c r="B2" s="26" t="s">
        <v>0</v>
      </c>
      <c r="C2" s="26"/>
      <c r="D2" s="26"/>
      <c r="E2" s="26"/>
      <c r="F2" s="26"/>
      <c r="G2" s="26"/>
    </row>
    <row r="4" spans="2:7" x14ac:dyDescent="0.3"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</row>
    <row r="5" spans="2:7" x14ac:dyDescent="0.3">
      <c r="B5" s="4">
        <v>1</v>
      </c>
      <c r="C5" s="5" t="s">
        <v>16</v>
      </c>
      <c r="D5" s="6" t="s">
        <v>46</v>
      </c>
      <c r="E5" s="4">
        <v>0</v>
      </c>
      <c r="F5" s="4">
        <v>0.39</v>
      </c>
      <c r="G5" s="4">
        <v>1</v>
      </c>
    </row>
    <row r="6" spans="2:7" x14ac:dyDescent="0.3">
      <c r="B6" s="4">
        <v>2</v>
      </c>
      <c r="C6" s="5" t="s">
        <v>17</v>
      </c>
      <c r="D6" s="6" t="s">
        <v>47</v>
      </c>
      <c r="E6" s="4">
        <v>0</v>
      </c>
      <c r="F6" s="4">
        <v>0.28999999999999998</v>
      </c>
      <c r="G6" s="4">
        <v>1</v>
      </c>
    </row>
    <row r="7" spans="2:7" x14ac:dyDescent="0.3">
      <c r="B7" s="4">
        <v>3</v>
      </c>
      <c r="C7" s="5" t="s">
        <v>18</v>
      </c>
      <c r="D7" s="6" t="s">
        <v>46</v>
      </c>
      <c r="E7" s="4">
        <v>1</v>
      </c>
      <c r="F7" s="4">
        <v>0.17</v>
      </c>
      <c r="G7" s="4">
        <v>4</v>
      </c>
    </row>
    <row r="8" spans="2:7" x14ac:dyDescent="0.3">
      <c r="B8" s="4">
        <v>4</v>
      </c>
      <c r="C8" s="5" t="s">
        <v>19</v>
      </c>
      <c r="D8" s="6" t="s">
        <v>48</v>
      </c>
      <c r="E8" s="4">
        <v>0</v>
      </c>
      <c r="F8" s="4">
        <v>0.38</v>
      </c>
      <c r="G8" s="4">
        <v>1</v>
      </c>
    </row>
    <row r="9" spans="2:7" x14ac:dyDescent="0.3">
      <c r="B9" s="7">
        <v>5</v>
      </c>
      <c r="C9" s="8" t="s">
        <v>20</v>
      </c>
      <c r="D9" s="28" t="s">
        <v>46</v>
      </c>
      <c r="E9" s="7">
        <v>0</v>
      </c>
      <c r="F9" s="7">
        <v>0.54</v>
      </c>
      <c r="G9" s="7">
        <v>1</v>
      </c>
    </row>
    <row r="10" spans="2:7" x14ac:dyDescent="0.3">
      <c r="B10" s="4">
        <v>6</v>
      </c>
      <c r="C10" s="5" t="s">
        <v>21</v>
      </c>
      <c r="D10" s="5" t="s">
        <v>8</v>
      </c>
      <c r="E10" s="4">
        <v>0</v>
      </c>
      <c r="F10" s="4">
        <v>0.28999999999999998</v>
      </c>
      <c r="G10" s="4">
        <v>3</v>
      </c>
    </row>
    <row r="11" spans="2:7" x14ac:dyDescent="0.3">
      <c r="B11" s="4">
        <v>7</v>
      </c>
      <c r="C11" s="5" t="s">
        <v>22</v>
      </c>
      <c r="D11" s="5" t="s">
        <v>8</v>
      </c>
      <c r="E11" s="4">
        <v>6</v>
      </c>
      <c r="F11" s="4">
        <v>0.4</v>
      </c>
      <c r="G11" s="4">
        <v>3</v>
      </c>
    </row>
    <row r="12" spans="2:7" ht="31.5" x14ac:dyDescent="0.3">
      <c r="B12" s="4">
        <v>8</v>
      </c>
      <c r="C12" s="5" t="s">
        <v>70</v>
      </c>
      <c r="D12" s="5" t="s">
        <v>10</v>
      </c>
      <c r="E12" s="4">
        <v>0</v>
      </c>
      <c r="F12" s="4">
        <v>0.52</v>
      </c>
      <c r="G12" s="4">
        <v>1</v>
      </c>
    </row>
    <row r="13" spans="2:7" x14ac:dyDescent="0.3">
      <c r="B13" s="4">
        <v>9</v>
      </c>
      <c r="C13" s="5" t="s">
        <v>23</v>
      </c>
      <c r="D13" s="5" t="s">
        <v>11</v>
      </c>
      <c r="E13" s="4">
        <v>8</v>
      </c>
      <c r="F13" s="4">
        <v>0.26</v>
      </c>
      <c r="G13" s="4">
        <v>1</v>
      </c>
    </row>
    <row r="14" spans="2:7" x14ac:dyDescent="0.3">
      <c r="B14" s="4">
        <v>10</v>
      </c>
      <c r="C14" s="5" t="s">
        <v>24</v>
      </c>
      <c r="D14" s="5" t="s">
        <v>10</v>
      </c>
      <c r="E14" s="4">
        <v>9</v>
      </c>
      <c r="F14" s="4">
        <v>0.47</v>
      </c>
      <c r="G14" s="4">
        <v>1</v>
      </c>
    </row>
    <row r="15" spans="2:7" x14ac:dyDescent="0.3">
      <c r="B15" s="4">
        <v>11</v>
      </c>
      <c r="C15" s="5" t="s">
        <v>25</v>
      </c>
      <c r="D15" s="5" t="s">
        <v>7</v>
      </c>
      <c r="E15" s="4" t="s">
        <v>51</v>
      </c>
      <c r="F15" s="4">
        <v>0.67</v>
      </c>
      <c r="G15" s="4">
        <v>1</v>
      </c>
    </row>
    <row r="16" spans="2:7" x14ac:dyDescent="0.3">
      <c r="B16" s="4">
        <v>12</v>
      </c>
      <c r="C16" s="5" t="s">
        <v>26</v>
      </c>
      <c r="D16" s="5" t="s">
        <v>8</v>
      </c>
      <c r="E16" s="4">
        <v>11</v>
      </c>
      <c r="F16" s="4">
        <v>0.6</v>
      </c>
      <c r="G16" s="4">
        <v>2</v>
      </c>
    </row>
    <row r="17" spans="2:7" x14ac:dyDescent="0.3">
      <c r="B17" s="4">
        <v>13</v>
      </c>
      <c r="C17" s="5" t="s">
        <v>27</v>
      </c>
      <c r="D17" s="5" t="s">
        <v>12</v>
      </c>
      <c r="E17" s="4">
        <v>12</v>
      </c>
      <c r="F17" s="4">
        <v>0.46</v>
      </c>
      <c r="G17" s="4">
        <v>2</v>
      </c>
    </row>
    <row r="18" spans="2:7" x14ac:dyDescent="0.3">
      <c r="B18" s="4">
        <v>14</v>
      </c>
      <c r="C18" s="5" t="s">
        <v>28</v>
      </c>
      <c r="D18" s="5" t="s">
        <v>8</v>
      </c>
      <c r="E18" s="4">
        <v>13</v>
      </c>
      <c r="F18" s="4">
        <v>0.54</v>
      </c>
      <c r="G18" s="4">
        <v>2</v>
      </c>
    </row>
    <row r="19" spans="2:7" x14ac:dyDescent="0.3">
      <c r="B19" s="4">
        <v>15</v>
      </c>
      <c r="C19" s="5" t="s">
        <v>29</v>
      </c>
      <c r="D19" s="5" t="s">
        <v>10</v>
      </c>
      <c r="E19" s="4">
        <v>0</v>
      </c>
      <c r="F19" s="4">
        <v>0.2</v>
      </c>
      <c r="G19" s="4">
        <v>3</v>
      </c>
    </row>
    <row r="20" spans="2:7" x14ac:dyDescent="0.3">
      <c r="B20" s="4">
        <v>16</v>
      </c>
      <c r="C20" s="5" t="s">
        <v>30</v>
      </c>
      <c r="D20" s="5" t="s">
        <v>9</v>
      </c>
      <c r="E20" s="4">
        <v>15</v>
      </c>
      <c r="F20" s="4">
        <v>0.16</v>
      </c>
      <c r="G20" s="4">
        <v>4</v>
      </c>
    </row>
    <row r="21" spans="2:7" x14ac:dyDescent="0.3">
      <c r="B21" s="4">
        <v>17</v>
      </c>
      <c r="C21" s="5" t="s">
        <v>31</v>
      </c>
      <c r="D21" s="5" t="s">
        <v>13</v>
      </c>
      <c r="E21" s="4">
        <v>0</v>
      </c>
      <c r="F21" s="4">
        <v>0.47</v>
      </c>
      <c r="G21" s="4">
        <v>3</v>
      </c>
    </row>
    <row r="22" spans="2:7" ht="31.5" x14ac:dyDescent="0.3">
      <c r="B22" s="4">
        <v>18</v>
      </c>
      <c r="C22" s="5" t="s">
        <v>32</v>
      </c>
      <c r="D22" s="5" t="s">
        <v>10</v>
      </c>
      <c r="E22" s="4">
        <v>17</v>
      </c>
      <c r="F22" s="4">
        <v>0.6</v>
      </c>
      <c r="G22" s="4">
        <v>1</v>
      </c>
    </row>
    <row r="23" spans="2:7" x14ac:dyDescent="0.3">
      <c r="B23" s="4">
        <v>19</v>
      </c>
      <c r="C23" s="5" t="s">
        <v>33</v>
      </c>
      <c r="D23" s="5" t="s">
        <v>10</v>
      </c>
      <c r="E23" s="4">
        <v>0</v>
      </c>
      <c r="F23" s="4">
        <v>0.24</v>
      </c>
      <c r="G23" s="4">
        <v>1</v>
      </c>
    </row>
    <row r="24" spans="2:7" x14ac:dyDescent="0.3">
      <c r="B24" s="4">
        <v>20</v>
      </c>
      <c r="C24" s="5" t="s">
        <v>34</v>
      </c>
      <c r="D24" s="5" t="s">
        <v>8</v>
      </c>
      <c r="E24" s="4" t="s">
        <v>50</v>
      </c>
      <c r="F24" s="4">
        <v>0.51</v>
      </c>
      <c r="G24" s="4">
        <v>3</v>
      </c>
    </row>
    <row r="25" spans="2:7" x14ac:dyDescent="0.3">
      <c r="B25" s="4">
        <v>21</v>
      </c>
      <c r="C25" s="5" t="s">
        <v>35</v>
      </c>
      <c r="D25" s="5" t="s">
        <v>8</v>
      </c>
      <c r="E25" s="4">
        <v>20</v>
      </c>
      <c r="F25" s="4">
        <v>0.24</v>
      </c>
      <c r="G25" s="4">
        <v>2</v>
      </c>
    </row>
    <row r="26" spans="2:7" x14ac:dyDescent="0.3">
      <c r="B26" s="4">
        <v>22</v>
      </c>
      <c r="C26" s="5" t="s">
        <v>36</v>
      </c>
      <c r="D26" s="5" t="s">
        <v>14</v>
      </c>
      <c r="E26" s="4">
        <v>14</v>
      </c>
      <c r="F26" s="4">
        <v>0.24</v>
      </c>
      <c r="G26" s="4">
        <v>1</v>
      </c>
    </row>
    <row r="27" spans="2:7" x14ac:dyDescent="0.3">
      <c r="B27" s="4">
        <v>23</v>
      </c>
      <c r="C27" s="5" t="s">
        <v>37</v>
      </c>
      <c r="D27" s="5" t="s">
        <v>15</v>
      </c>
      <c r="E27" s="4">
        <v>24</v>
      </c>
      <c r="F27" s="4">
        <v>0.78</v>
      </c>
      <c r="G27" s="4">
        <v>4</v>
      </c>
    </row>
    <row r="28" spans="2:7" x14ac:dyDescent="0.3">
      <c r="B28" s="7">
        <v>24</v>
      </c>
      <c r="C28" s="8" t="s">
        <v>38</v>
      </c>
      <c r="D28" s="8" t="s">
        <v>8</v>
      </c>
      <c r="E28" s="7">
        <v>21</v>
      </c>
      <c r="F28" s="7">
        <v>0.46</v>
      </c>
      <c r="G28" s="7">
        <v>3</v>
      </c>
    </row>
    <row r="29" spans="2:7" x14ac:dyDescent="0.3">
      <c r="B29" s="4">
        <v>25</v>
      </c>
      <c r="C29" s="5" t="s">
        <v>39</v>
      </c>
      <c r="D29" s="6" t="s">
        <v>46</v>
      </c>
      <c r="E29" s="4">
        <v>24</v>
      </c>
      <c r="F29" s="4">
        <v>1.1399999999999999</v>
      </c>
      <c r="G29" s="4">
        <v>1</v>
      </c>
    </row>
    <row r="30" spans="2:7" x14ac:dyDescent="0.3">
      <c r="B30" s="4">
        <v>26</v>
      </c>
      <c r="C30" s="5" t="s">
        <v>40</v>
      </c>
      <c r="D30" s="6" t="s">
        <v>46</v>
      </c>
      <c r="E30" s="4">
        <v>25</v>
      </c>
      <c r="F30" s="4">
        <v>0.37</v>
      </c>
      <c r="G30" s="4">
        <v>3</v>
      </c>
    </row>
    <row r="31" spans="2:7" x14ac:dyDescent="0.3">
      <c r="B31" s="4">
        <v>27</v>
      </c>
      <c r="C31" s="5" t="s">
        <v>41</v>
      </c>
      <c r="D31" s="6" t="s">
        <v>48</v>
      </c>
      <c r="E31" s="4">
        <v>26</v>
      </c>
      <c r="F31" s="4">
        <v>0.7</v>
      </c>
      <c r="G31" s="4">
        <v>3</v>
      </c>
    </row>
    <row r="32" spans="2:7" x14ac:dyDescent="0.3">
      <c r="B32" s="4">
        <v>28</v>
      </c>
      <c r="C32" s="5" t="s">
        <v>42</v>
      </c>
      <c r="D32" s="6" t="s">
        <v>48</v>
      </c>
      <c r="E32" s="4">
        <v>27</v>
      </c>
      <c r="F32" s="4">
        <v>0.73</v>
      </c>
      <c r="G32" s="4">
        <v>3</v>
      </c>
    </row>
    <row r="33" spans="2:7" x14ac:dyDescent="0.3">
      <c r="B33" s="4">
        <v>29</v>
      </c>
      <c r="C33" s="5" t="s">
        <v>43</v>
      </c>
      <c r="D33" s="6" t="s">
        <v>48</v>
      </c>
      <c r="E33" s="4">
        <v>28</v>
      </c>
      <c r="F33" s="4">
        <v>0.55000000000000004</v>
      </c>
      <c r="G33" s="4">
        <v>1</v>
      </c>
    </row>
    <row r="34" spans="2:7" x14ac:dyDescent="0.3">
      <c r="B34" s="4">
        <v>30</v>
      </c>
      <c r="C34" s="5" t="s">
        <v>44</v>
      </c>
      <c r="D34" s="6" t="s">
        <v>46</v>
      </c>
      <c r="E34" s="4">
        <v>29</v>
      </c>
      <c r="F34" s="4">
        <v>0.13</v>
      </c>
      <c r="G34" s="4">
        <v>1</v>
      </c>
    </row>
    <row r="35" spans="2:7" x14ac:dyDescent="0.3">
      <c r="B35" s="7">
        <v>31</v>
      </c>
      <c r="C35" s="8" t="s">
        <v>45</v>
      </c>
      <c r="D35" s="9" t="s">
        <v>49</v>
      </c>
      <c r="E35" s="7">
        <v>30</v>
      </c>
      <c r="F35" s="7">
        <v>0.55000000000000004</v>
      </c>
      <c r="G35" s="7">
        <v>4</v>
      </c>
    </row>
    <row r="36" spans="2:7" x14ac:dyDescent="0.3">
      <c r="B36" s="7">
        <v>32</v>
      </c>
      <c r="C36" s="8" t="s">
        <v>45</v>
      </c>
      <c r="D36" s="9" t="s">
        <v>49</v>
      </c>
      <c r="E36" s="7">
        <v>30</v>
      </c>
      <c r="F36" s="7">
        <v>0.55000000000000004</v>
      </c>
      <c r="G36" s="7">
        <v>4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2A15A-A6EB-42BA-90EE-F74A83A43562}">
  <sheetPr codeName="Sheet11"/>
  <dimension ref="A2:F36"/>
  <sheetViews>
    <sheetView showGridLines="0" zoomScale="115" zoomScaleNormal="115" workbookViewId="0">
      <selection activeCell="C24" sqref="C24"/>
    </sheetView>
  </sheetViews>
  <sheetFormatPr defaultColWidth="0" defaultRowHeight="15.75" x14ac:dyDescent="0.3"/>
  <cols>
    <col min="1" max="1" width="2.7109375" style="24" customWidth="1"/>
    <col min="2" max="3" width="45.7109375" style="24" customWidth="1"/>
    <col min="4" max="4" width="2.7109375" style="24" customWidth="1"/>
    <col min="5" max="6" width="0" style="24" hidden="1" customWidth="1"/>
    <col min="7" max="16384" width="9" style="24" hidden="1"/>
  </cols>
  <sheetData>
    <row r="2" spans="2:3" x14ac:dyDescent="0.3">
      <c r="B2" s="27" t="s">
        <v>69</v>
      </c>
      <c r="C2" s="27"/>
    </row>
    <row r="3" spans="2:3" ht="16.5" thickBot="1" x14ac:dyDescent="0.35"/>
    <row r="4" spans="2:3" ht="17.25" thickTop="1" thickBot="1" x14ac:dyDescent="0.35">
      <c r="B4" s="10"/>
      <c r="C4" s="11" t="s">
        <v>52</v>
      </c>
    </row>
    <row r="5" spans="2:3" ht="16.5" thickTop="1" x14ac:dyDescent="0.3">
      <c r="B5" s="12" t="s">
        <v>53</v>
      </c>
      <c r="C5" s="13" t="s">
        <v>54</v>
      </c>
    </row>
    <row r="6" spans="2:3" x14ac:dyDescent="0.3">
      <c r="B6" s="14" t="s">
        <v>55</v>
      </c>
      <c r="C6" s="15" t="s">
        <v>56</v>
      </c>
    </row>
    <row r="7" spans="2:3" x14ac:dyDescent="0.3">
      <c r="B7" s="14" t="s">
        <v>57</v>
      </c>
      <c r="C7" s="16">
        <f>460</f>
        <v>460</v>
      </c>
    </row>
    <row r="8" spans="2:3" x14ac:dyDescent="0.3">
      <c r="B8" s="14" t="s">
        <v>58</v>
      </c>
      <c r="C8" s="16">
        <v>1005</v>
      </c>
    </row>
    <row r="9" spans="2:3" x14ac:dyDescent="0.3">
      <c r="B9" s="14" t="s">
        <v>59</v>
      </c>
      <c r="C9" s="17">
        <v>44396</v>
      </c>
    </row>
    <row r="10" spans="2:3" x14ac:dyDescent="0.3">
      <c r="B10" s="14" t="s">
        <v>60</v>
      </c>
      <c r="C10" s="17">
        <v>44399</v>
      </c>
    </row>
    <row r="11" spans="2:3" x14ac:dyDescent="0.3">
      <c r="B11" s="14" t="s">
        <v>61</v>
      </c>
      <c r="C11" s="18">
        <f>(_xlfn.DAYS(C10,C9)+1)</f>
        <v>4</v>
      </c>
    </row>
    <row r="12" spans="2:3" x14ac:dyDescent="0.3">
      <c r="B12" s="14" t="s">
        <v>62</v>
      </c>
      <c r="C12" s="18">
        <f>ROUND(C8/C11,0)</f>
        <v>251</v>
      </c>
    </row>
    <row r="13" spans="2:3" x14ac:dyDescent="0.3">
      <c r="B13" s="14" t="s">
        <v>63</v>
      </c>
      <c r="C13" s="19">
        <f>C7/C12</f>
        <v>1.8326693227091633</v>
      </c>
    </row>
    <row r="14" spans="2:3" x14ac:dyDescent="0.3">
      <c r="B14" s="14" t="s">
        <v>64</v>
      </c>
      <c r="C14" s="16">
        <f>MAX('hat1'!$F:$F)</f>
        <v>1.1399999999999999</v>
      </c>
    </row>
    <row r="15" spans="2:3" x14ac:dyDescent="0.3">
      <c r="B15" s="14" t="s">
        <v>65</v>
      </c>
      <c r="C15" s="16">
        <f>ROUND(C7/C14,0)</f>
        <v>404</v>
      </c>
    </row>
    <row r="16" spans="2:3" ht="31.5" x14ac:dyDescent="0.3">
      <c r="B16" s="20" t="s">
        <v>66</v>
      </c>
      <c r="C16" s="21">
        <f>MAX(C13,C14)</f>
        <v>1.8326693227091633</v>
      </c>
    </row>
    <row r="17" spans="2:3" x14ac:dyDescent="0.3">
      <c r="B17" s="14" t="s">
        <v>67</v>
      </c>
      <c r="C17" s="16">
        <f>ROUNDUP(SUM('hat1'!$F:$F)/C16,0)</f>
        <v>8</v>
      </c>
    </row>
    <row r="18" spans="2:3" ht="16.5" thickBot="1" x14ac:dyDescent="0.35">
      <c r="B18" s="22" t="s">
        <v>68</v>
      </c>
      <c r="C18" s="23">
        <f>MAX('hat1'!$B:$B)</f>
        <v>32</v>
      </c>
    </row>
    <row r="19" spans="2:3" ht="16.5" thickTop="1" x14ac:dyDescent="0.3"/>
    <row r="25" spans="2:3" x14ac:dyDescent="0.3">
      <c r="B25" s="25"/>
    </row>
    <row r="33" s="24" customFormat="1" x14ac:dyDescent="0.3"/>
    <row r="34" s="24" customFormat="1" x14ac:dyDescent="0.3"/>
    <row r="35" s="24" customFormat="1" x14ac:dyDescent="0.3"/>
    <row r="36" s="24" customFormat="1" x14ac:dyDescent="0.3"/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hat1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2022-07-20T04:03:46Z</dcterms:modified>
</cp:coreProperties>
</file>